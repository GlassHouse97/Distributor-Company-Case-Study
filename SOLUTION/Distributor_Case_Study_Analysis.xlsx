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4.xml" ContentType="application/vnd.openxmlformats-officedocument.spreadsheetml.worksheet+xml"/>
  <Override PartName="/xl/tables/table5.xml" ContentType="application/vnd.openxmlformats-officedocument.spreadsheetml.table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6.xml" ContentType="application/vnd.openxmlformats-officedocument.spreadsheetml.table+xml"/>
  <Override PartName="/xl/worksheets/sheet6.xml" ContentType="application/vnd.openxmlformats-officedocument.spreadsheetml.worksheet+xml"/>
  <Override PartName="/xl/tables/table7.xml" ContentType="application/vnd.openxmlformats-officedocument.spreadsheetml.table+xml"/>
  <Override PartName="/xl/worksheets/sheet7.xml" ContentType="application/vnd.openxmlformats-officedocument.spreadsheetml.worksheet+xml"/>
  <Override PartName="/xl/tables/table8.xml" ContentType="application/vnd.openxmlformats-officedocument.spreadsheetml.table+xml"/>
  <Override PartName="/xl/worksheets/sheet8.xml" ContentType="application/vnd.openxmlformats-officedocument.spreadsheetml.worksheet+xml"/>
  <Override PartName="/xl/tables/table9.xml" ContentType="application/vnd.openxmlformats-officedocument.spreadsheetml.table+xml"/>
  <Override PartName="/xl/worksheets/sheet9.xml" ContentType="application/vnd.openxmlformats-officedocument.spreadsheetml.worksheet+xml"/>
  <Override PartName="/xl/tables/table10.xml" ContentType="application/vnd.openxmlformats-officedocument.spreadsheetml.table+xml"/>
  <Override PartName="/xl/worksheets/sheet10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1d406086a348e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Summary" sheetId="1" r:id="Rd52a01ac9d854b98"/>
    <x:sheet xmlns:r="http://schemas.openxmlformats.org/officeDocument/2006/relationships" name="Segment Profitability" sheetId="2" r:id="Raaec0cd9e2904e30"/>
    <x:sheet xmlns:r="http://schemas.openxmlformats.org/officeDocument/2006/relationships" name="Concentration" sheetId="3" r:id="R8040091b80f24ae4"/>
    <x:sheet xmlns:r="http://schemas.openxmlformats.org/officeDocument/2006/relationships" name="Retention Summary" sheetId="4" r:id="R6f62e8e0364449e7"/>
    <x:sheet xmlns:r="http://schemas.openxmlformats.org/officeDocument/2006/relationships" name="Annual Trend" sheetId="5" r:id="R95db7e78b3b64adf"/>
    <x:sheet xmlns:r="http://schemas.openxmlformats.org/officeDocument/2006/relationships" name="Segment Growth" sheetId="6" r:id="Rdd8b93be93b54da4"/>
    <x:sheet xmlns:r="http://schemas.openxmlformats.org/officeDocument/2006/relationships" name="Segment Concentration" sheetId="7" r:id="Rcdb445b930e442d8"/>
    <x:sheet xmlns:r="http://schemas.openxmlformats.org/officeDocument/2006/relationships" name="Retention by Segment" sheetId="8" r:id="R14ecbb3805214c57"/>
    <x:sheet xmlns:r="http://schemas.openxmlformats.org/officeDocument/2006/relationships" name="Outreach Priorities" sheetId="9" r:id="Rdf47cb42add346e6"/>
    <x:sheet xmlns:r="http://schemas.openxmlformats.org/officeDocument/2006/relationships" name="Validation" sheetId="10" r:id="R8d2d9fc3e4c44cf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#,##0"/>
    <x:numFmt numFmtId="201" formatCode="$#,##0.0,,&quot;M&quot;"/>
    <x:numFmt numFmtId="202" formatCode="0.00&quot;%&quot;"/>
    <x:numFmt numFmtId="203" formatCode="$#,##0"/>
    <x:numFmt numFmtId="204" formatCode="0"/>
    <x:numFmt numFmtId="205" formatCode="@"/>
    <x:numFmt numFmtId="206" formatCode="0.0%"/>
    <x:numFmt numFmtId="207" formatCode="0.00 &quot;pp&quot;"/>
  </x:numFmts>
  <x:fonts count="7">
    <x:font>
      <x:sz val="11"/>
      <x:name val="Carlito"/>
    </x:font>
    <x:font>
      <x:b/>
      <x:sz val="18"/>
      <x:color rgb="FFFFFFFF"/>
      <x:name val="Carlito"/>
    </x:font>
    <x:font>
      <x:i/>
      <x:sz val="10"/>
      <x:color rgb="FF20364D"/>
      <x:name val="Carlito"/>
    </x:font>
    <x:font>
      <x:sz val="10"/>
      <x:color rgb="FF20364D"/>
      <x:name val="Carlito"/>
    </x:font>
    <x:font>
      <x:b/>
      <x:sz val="12"/>
      <x:color rgb="FF17365D"/>
      <x:name val="Carlito"/>
    </x:font>
    <x:font>
      <x:b/>
      <x:sz val="10"/>
      <x:color rgb="FF17365D"/>
      <x:name val="Carlito"/>
    </x:font>
    <x:font>
      <x:b/>
      <x:sz val="18"/>
      <x:color rgb="FF2F75B5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EEF5FB"/>
      </x:patternFill>
    </x:fill>
    <x:fill>
      <x:patternFill patternType="solid">
        <x:fgColor rgb="FFFFFFFF"/>
      </x:patternFill>
    </x:fill>
  </x:fills>
  <x:borders count="4">
    <x:border/>
    <x:border>
      <x:left style="thin">
        <x:color rgb="FFC9D5E2"/>
      </x:left>
      <x:right style="thin">
        <x:color rgb="FFC9D5E2"/>
      </x:right>
      <x:top style="thin">
        <x:color rgb="FFC9D5E2"/>
      </x:top>
      <x:bottom style="thin">
        <x:color rgb="FFC9D5E2"/>
      </x:bottom>
    </x:border>
    <x:border>
      <x:left style="thin">
        <x:color rgb="FFC9D5E2"/>
      </x:left>
      <x:top style="thin">
        <x:color rgb="FFC9D5E2"/>
      </x:top>
      <x:bottom style="thin">
        <x:color rgb="FFC9D5E2"/>
      </x:bottom>
    </x:border>
    <x:border>
      <x:right style="thin">
        <x:color rgb="FFC9D5E2"/>
      </x:right>
      <x:top style="thin">
        <x:color rgb="FFC9D5E2"/>
      </x:top>
      <x:bottom style="thin">
        <x:color rgb="FFC9D5E2"/>
      </x:bottom>
    </x:border>
  </x:borders>
  <x:cellStyleXfs count="1">
    <x:xf numFmtId="0" fontId="0" fillId="0" borderId="0"/>
  </x:cellStyleXfs>
  <x:cellXfs count="5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vertical="center" wrapText="1"/>
    </x:xf>
    <x:xf numFmtId="200" fontId="3" fillId="0" borderId="1" xfId="0" applyNumberFormat="1" applyFont="1" applyFill="1" applyBorder="1" applyAlignment="1">
      <x:alignment vertical="center" wrapText="1"/>
    </x:xf>
    <x:xf numFmtId="201" fontId="3" fillId="0" borderId="1" xfId="0" applyNumberFormat="1" applyFont="1" applyFill="1" applyBorder="1" applyAlignment="1">
      <x:alignment vertical="center" wrapText="1"/>
    </x:xf>
    <x:xf numFmtId="202" fontId="3" fillId="0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vertical="center"/>
    </x:xf>
    <x:xf numFmtId="203" fontId="3" fillId="0" borderId="1" xfId="0" applyNumberFormat="1" applyFont="1" applyFill="1" applyBorder="1" applyAlignment="1">
      <x:alignment vertical="center" wrapText="1"/>
    </x:xf>
    <x:xf numFmtId="204" fontId="3" fillId="0" borderId="1" xfId="0" applyNumberFormat="1" applyFont="1" applyFill="1" applyBorder="1" applyAlignment="1">
      <x:alignment vertical="center" wrapText="1"/>
    </x:xf>
    <x:xf numFmtId="205" fontId="3" fillId="0" borderId="1" xfId="0" applyNumberFormat="1" applyFont="1" applyFill="1" applyBorder="1" applyAlignment="1">
      <x:alignment vertical="center" wrapText="1"/>
    </x:xf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vertical="center"/>
    </x:xf>
    <x:xf numFmtId="206" fontId="0" fillId="0" borderId="0" xfId="0" applyNumberFormat="1" applyFont="1" applyFill="1" applyBorder="1"/>
    <x:xf numFmtId="206" fontId="0" fillId="5" borderId="0" xfId="0" applyNumberFormat="1" applyFont="1" applyFill="1" applyBorder="1"/>
    <x:xf numFmtId="206" fontId="6" fillId="5" borderId="0" xfId="0" applyNumberFormat="1" applyFont="1" applyFill="1" applyBorder="1"/>
    <x:xf numFmtId="206" fontId="6" fillId="5" borderId="2" xfId="0" applyNumberFormat="1" applyFont="1" applyFill="1" applyBorder="1"/>
    <x:xf numFmtId="206" fontId="6" fillId="5" borderId="3" xfId="0" applyNumberFormat="1" applyFont="1" applyFill="1" applyBorder="1"/>
    <x:xf numFmtId="206" fontId="6" fillId="5" borderId="2" xfId="0" applyNumberFormat="1" applyFont="1" applyFill="1" applyBorder="1" applyAlignment="1">
      <x:alignment vertical="center"/>
    </x:xf>
    <x:xf numFmtId="206" fontId="6" fillId="5" borderId="3" xfId="0" applyNumberFormat="1" applyFont="1" applyFill="1" applyBorder="1" applyAlignment="1">
      <x:alignment vertical="center"/>
    </x:xf>
    <x:xf numFmtId="207" fontId="0" fillId="0" borderId="0" xfId="0" applyNumberFormat="1" applyFont="1" applyFill="1" applyBorder="1"/>
    <x:xf numFmtId="207" fontId="0" fillId="5" borderId="0" xfId="0" applyNumberFormat="1" applyFont="1" applyFill="1" applyBorder="1"/>
    <x:xf numFmtId="207" fontId="6" fillId="5" borderId="0" xfId="0" applyNumberFormat="1" applyFont="1" applyFill="1" applyBorder="1"/>
    <x:xf numFmtId="207" fontId="6" fillId="5" borderId="2" xfId="0" applyNumberFormat="1" applyFont="1" applyFill="1" applyBorder="1"/>
    <x:xf numFmtId="207" fontId="6" fillId="5" borderId="3" xfId="0" applyNumberFormat="1" applyFont="1" applyFill="1" applyBorder="1"/>
    <x:xf numFmtId="207" fontId="6" fillId="5" borderId="2" xfId="0" applyNumberFormat="1" applyFont="1" applyFill="1" applyBorder="1" applyAlignment="1">
      <x:alignment vertical="center"/>
    </x:xf>
    <x:xf numFmtId="207" fontId="6" fillId="5" borderId="3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/>
    <x:xf numFmtId="202" fontId="0" fillId="5" borderId="0" xfId="0" applyNumberFormat="1" applyFont="1" applyFill="1" applyBorder="1"/>
    <x:xf numFmtId="202" fontId="6" fillId="5" borderId="0" xfId="0" applyNumberFormat="1" applyFont="1" applyFill="1" applyBorder="1"/>
    <x:xf numFmtId="202" fontId="6" fillId="5" borderId="2" xfId="0" applyNumberFormat="1" applyFont="1" applyFill="1" applyBorder="1"/>
    <x:xf numFmtId="202" fontId="6" fillId="5" borderId="3" xfId="0" applyNumberFormat="1" applyFont="1" applyFill="1" applyBorder="1"/>
    <x:xf numFmtId="202" fontId="6" fillId="5" borderId="2" xfId="0" applyNumberFormat="1" applyFont="1" applyFill="1" applyBorder="1" applyAlignment="1">
      <x:alignment vertical="center"/>
    </x:xf>
    <x:xf numFmtId="202" fontId="6" fillId="5" borderId="3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/>
    <x:xf numFmtId="201" fontId="0" fillId="5" borderId="0" xfId="0" applyNumberFormat="1" applyFont="1" applyFill="1" applyBorder="1"/>
    <x:xf numFmtId="201" fontId="6" fillId="5" borderId="0" xfId="0" applyNumberFormat="1" applyFont="1" applyFill="1" applyBorder="1"/>
    <x:xf numFmtId="201" fontId="6" fillId="5" borderId="2" xfId="0" applyNumberFormat="1" applyFont="1" applyFill="1" applyBorder="1"/>
    <x:xf numFmtId="201" fontId="6" fillId="5" borderId="3" xfId="0" applyNumberFormat="1" applyFont="1" applyFill="1" applyBorder="1"/>
    <x:xf numFmtId="201" fontId="6" fillId="5" borderId="2" xfId="0" applyNumberFormat="1" applyFont="1" applyFill="1" applyBorder="1" applyAlignment="1">
      <x:alignment vertical="center"/>
    </x:xf>
    <x:xf numFmtId="201" fontId="6" fillId="5" borderId="3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b/>
        <x:color rgb="FF375623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08ef8ccca69454b" /><Relationship Type="http://schemas.openxmlformats.org/officeDocument/2006/relationships/theme" Target="/xl/theme/theme1.xml" Id="R3d542e86d4904cbe" /><Relationship Type="http://schemas.openxmlformats.org/officeDocument/2006/relationships/sharedStrings" Target="/xl/sharedStrings.xml" Id="R3136f305e1fa4b26" /><Relationship Type="http://schemas.openxmlformats.org/officeDocument/2006/relationships/worksheet" Target="/xl/worksheets/sheet1.xml" Id="Rd52a01ac9d854b98" /><Relationship Type="http://schemas.openxmlformats.org/officeDocument/2006/relationships/worksheet" Target="/xl/worksheets/sheet2.xml" Id="Raaec0cd9e2904e30" /><Relationship Type="http://schemas.openxmlformats.org/officeDocument/2006/relationships/worksheet" Target="/xl/worksheets/sheet3.xml" Id="R8040091b80f24ae4" /><Relationship Type="http://schemas.openxmlformats.org/officeDocument/2006/relationships/worksheet" Target="/xl/worksheets/sheet4.xml" Id="R6f62e8e0364449e7" /><Relationship Type="http://schemas.openxmlformats.org/officeDocument/2006/relationships/worksheet" Target="/xl/worksheets/sheet5.xml" Id="R95db7e78b3b64adf" /><Relationship Type="http://schemas.openxmlformats.org/officeDocument/2006/relationships/worksheet" Target="/xl/worksheets/sheet6.xml" Id="Rdd8b93be93b54da4" /><Relationship Type="http://schemas.openxmlformats.org/officeDocument/2006/relationships/worksheet" Target="/xl/worksheets/sheet7.xml" Id="Rcdb445b930e442d8" /><Relationship Type="http://schemas.openxmlformats.org/officeDocument/2006/relationships/worksheet" Target="/xl/worksheets/sheet8.xml" Id="R14ecbb3805214c57" /><Relationship Type="http://schemas.openxmlformats.org/officeDocument/2006/relationships/worksheet" Target="/xl/worksheets/sheet9.xml" Id="Rdf47cb42add346e6" /><Relationship Type="http://schemas.openxmlformats.org/officeDocument/2006/relationships/worksheet" Target="/xl/worksheets/sheet10.xml" Id="R8d2d9fc3e4c44cf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157d70f4a754b2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Revenue and gross profit rose each year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lineChart>
        <c:grouping val="standard"/>
        <c:ser>
          <c:idx val="0"/>
          <c:order val="0"/>
          <c:tx>
            <c:v>Revenue</c:v>
          </c:tx>
          <c:marker>
            <c:symbol val="none"/>
          </c:marker>
          <c:cat>
            <c:strRef>
              <c:f>'Annual Trend'!$A$5:$A$11</c:f>
              <c:strCache>
                <c:ptCount val="0"/>
              </c:strCache>
            </c:strRef>
          </c:cat>
          <c:val>
            <c:numRef>
              <c:f>'Annual Trend'!$B$5:$B$11</c:f>
              <c:numCache>
                <c:formatCode>$#,##0.0,,"M"</c:formatCode>
                <c:ptCount val="0"/>
              </c:numCache>
            </c:numRef>
          </c:val>
        </c:ser>
        <c:ser>
          <c:idx val="1"/>
          <c:order val="1"/>
          <c:tx>
            <c:v>Gross profit</c:v>
          </c:tx>
          <c:marker>
            <c:symbol val="none"/>
          </c:marker>
          <c:cat>
            <c:strRef>
              <c:f>'Annual Trend'!$A$5:$A$11</c:f>
              <c:strCache>
                <c:ptCount val="0"/>
              </c:strCache>
            </c:strRef>
          </c:cat>
          <c:val>
            <c:numRef>
              <c:f>'Annual Trend'!$C$5:$C$11</c:f>
              <c:numCache>
                <c:formatCode>$#,##0.0,,"M"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0,,&quot;M&quot;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3</xdr:row>
      <xdr:rowOff>0</xdr:rowOff>
    </xdr:from>
    <xdr:to>
      <xdr:col>15</xdr:col>
      <xdr:colOff>0</xdr:colOff>
      <xdr:row>19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157d70f4a754b2b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1" name="ExecutiveFindingsTable" displayName="ExecutiveFindingsTable" ref="A12:C16" headerRowCount="1" totalsRowCount="0" totalsRowShown="0">
  <x:tableColumns count="3">
    <x:tableColumn id="1" name="Question"/>
    <x:tableColumn id="2" name="Plain-language answer"/>
    <x:tableColumn id="3" name="Practical next step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" name="SegmentProfitabilityTable" displayName="SegmentProfitabilityTable" ref="A4:G68" headerRowCount="1" totalsRowCount="0" totalsRowShown="0">
  <x:tableColumns count="7">
    <x:tableColumn id="1" name="Customer segment"/>
    <x:tableColumn id="2" name="Customers"/>
    <x:tableColumn id="3" name="Revenue"/>
    <x:tableColumn id="4" name="Gross profit"/>
    <x:tableColumn id="5" name="Margin"/>
    <x:tableColumn id="6" name="Revenue share"/>
    <x:tableColumn id="7" name="Gross-profit shar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2" name="ConcentrationSummaryTable" displayName="ConcentrationSummaryTable" ref="A5:B12" headerRowCount="1" totalsRowCount="0" totalsRowShown="0">
  <x:tableColumns count="2">
    <x:tableColumn id="1" name="Measure"/>
    <x:tableColumn id="2" name="Result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3" name="TopCustomerConcentrationTable" displayName="TopCustomerConcentrationTable" ref="A15:G115" headerRowCount="1" totalsRowCount="0" totalsRowShown="0">
  <x:tableColumns count="7">
    <x:tableColumn id="1" name="Customer"/>
    <x:tableColumn id="2" name="Revenue"/>
    <x:tableColumn id="3" name="Gross profit"/>
    <x:tableColumn id="4" name="Margin"/>
    <x:tableColumn id="5" name="Revenue share"/>
    <x:tableColumn id="6" name="Cumulative revenue"/>
    <x:tableColumn id="7" name="Rank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4" name="RetentionSummaryTable" displayName="RetentionSummaryTable" ref="A4:G9" headerRowCount="1" totalsRowCount="0" totalsRowShown="0">
  <x:tableColumns count="7">
    <x:tableColumn id="1" name="Lifecycle status"/>
    <x:tableColumn id="2" name="Customers"/>
    <x:tableColumn id="3" name="Customer share"/>
    <x:tableColumn id="4" name="Trailing baseline"/>
    <x:tableColumn id="5" name="Revenue at risk"/>
    <x:tableColumn id="6" name="Risk share"/>
    <x:tableColumn id="7" name="Share of 2024 revenu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5" name="AnnualTrendTable" displayName="AnnualTrendTable" ref="A4:E11" headerRowCount="1" totalsRowCount="0" totalsRowShown="0">
  <x:tableColumns count="5">
    <x:tableColumn id="1" name="Year"/>
    <x:tableColumn id="2" name="Revenue"/>
    <x:tableColumn id="3" name="Gross profit"/>
    <x:tableColumn id="4" name="Gross margin"/>
    <x:tableColumn id="5" name="Revenue YoY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6" name="SegmentGrowthTable" displayName="SegmentGrowthTable" ref="A4:H67" headerRowCount="1" totalsRowCount="0" totalsRowShown="0">
  <x:tableColumns count="8">
    <x:tableColumn id="1" name="Customer segment"/>
    <x:tableColumn id="2" name="2018 revenue"/>
    <x:tableColumn id="3" name="2024 revenue"/>
    <x:tableColumn id="4" name="Revenue change"/>
    <x:tableColumn id="5" name="Revenue growth"/>
    <x:tableColumn id="6" name="Gross-profit change"/>
    <x:tableColumn id="7" name="2018 margin"/>
    <x:tableColumn id="8" name="2024 margin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7" name="SegmentConcentrationTable" displayName="SegmentConcentrationTable" ref="A4:F68" headerRowCount="1" totalsRowCount="0" totalsRowShown="0">
  <x:tableColumns count="6">
    <x:tableColumn id="1" name="Customer segment"/>
    <x:tableColumn id="2" name="Customers"/>
    <x:tableColumn id="3" name="Revenue"/>
    <x:tableColumn id="4" name="Revenue share"/>
    <x:tableColumn id="5" name="Cumulative revenue"/>
    <x:tableColumn id="6" name="Rank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8" name="RetentionBySegmentTable" displayName="RetentionBySegmentTable" ref="A4:H68" headerRowCount="1" totalsRowCount="0" totalsRowShown="0">
  <x:tableColumns count="8">
    <x:tableColumn id="1" name="Customer segment"/>
    <x:tableColumn id="2" name="Customers"/>
    <x:tableColumn id="3" name="Active"/>
    <x:tableColumn id="4" name="Watch"/>
    <x:tableColumn id="5" name="At risk"/>
    <x:tableColumn id="6" name="Dormant"/>
    <x:tableColumn id="7" name="Risky customer share"/>
    <x:tableColumn id="8" name="Revenue at risk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9" name="OutreachPrioritiesTable" displayName="OutreachPrioritiesTable" ref="A4:F104" headerRowCount="1" totalsRowCount="0" totalsRowShown="0">
  <x:tableColumns count="6">
    <x:tableColumn id="1" name="Customer"/>
    <x:tableColumn id="2" name="Customer segment"/>
    <x:tableColumn id="3" name="Last active period"/>
    <x:tableColumn id="4" name="Months inactive"/>
    <x:tableColumn id="5" name="Lifecycle status"/>
    <x:tableColumn id="6" name="Revenue at risk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0" name="ValidationChecksTable" displayName="ValidationChecksTable" ref="A4:E26" headerRowCount="1" totalsRowCount="0" totalsRowShown="0">
  <x:tableColumns count="5">
    <x:tableColumn id="1" name="Question"/>
    <x:tableColumn id="2" name="Check"/>
    <x:tableColumn id="3" name="Actual"/>
    <x:tableColumn id="4" name="Expected"/>
    <x:tableColumn id="5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cd0c015de1443f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b25b108b4434e1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dd8fa9200f844108" /><Relationship Type="http://schemas.openxmlformats.org/officeDocument/2006/relationships/table" Target="/xl/tables/table4.xml" Id="Rac949c6e3e5f4c1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5.xml" Id="Recf898cdbc2b4de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1.xml" Id="Rd541a09a23c54b5e" /><Relationship Type="http://schemas.openxmlformats.org/officeDocument/2006/relationships/table" Target="/xl/tables/table6.xml" Id="R8de11f6d40574cd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7.xml" Id="R33df7295fccb412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8.xml" Id="Rabff000e3920435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9.xml" Id="R733f6f08655f447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10.xml" Id="R07400e101a114c58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1.xml" Id="R92f0d4d4df734f2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54" hidden="0" customWidth="1"/>
    <x:col min="4" max="4" width="18" hidden="0" customWidth="1"/>
    <x:col min="5" max="5" width="18" hidden="0" customWidth="1"/>
    <x:col min="7" max="7" width="18" hidden="0" customWidth="1"/>
    <x:col min="8" max="8" width="18" hidden="0" customWidth="1"/>
  </x:cols>
  <x:sheetData>
    <x:row r="1" ht="30" customHeight="1">
      <x:c r="A1" s="3" t="str">
        <x:v>Distributor Company Case Study</x:v>
      </x:c>
      <x:c r="B1" s="3" t="str">
        <x:v>Distributor Company Case Study</x:v>
      </x:c>
      <x:c r="C1" s="3" t="str">
        <x:v>Distributor Company Case Study</x:v>
      </x:c>
      <x:c r="D1" s="3" t="str">
        <x:v>Distributor Company Case Study</x:v>
      </x:c>
      <x:c r="E1" s="3" t="str">
        <x:v>Distributor Company Case Study</x:v>
      </x:c>
      <x:c r="F1" s="3" t="str">
        <x:v>Distributor Company Case Study</x:v>
      </x:c>
      <x:c r="G1" s="3" t="str">
        <x:v>Distributor Company Case Study</x:v>
      </x:c>
      <x:c r="H1" s="3" t="str">
        <x:v>Distributor Company Case Study</x:v>
      </x:c>
    </x:row>
    <x:row r="2" ht="24" customHeight="1">
      <x:c r="A2" s="6" t="str">
        <x:v>A quick reviewer view of the four questions, final findings, and recommended next steps.</x:v>
      </x:c>
      <x:c r="B2" s="6" t="str">
        <x:v>A quick reviewer view of the four questions, final findings, and recommended next steps.</x:v>
      </x:c>
      <x:c r="C2" s="6" t="str">
        <x:v>A quick reviewer view of the four questions, final findings, and recommended next steps.</x:v>
      </x:c>
      <x:c r="D2" s="6" t="str">
        <x:v>A quick reviewer view of the four questions, final findings, and recommended next steps.</x:v>
      </x:c>
      <x:c r="E2" s="6" t="str">
        <x:v>A quick reviewer view of the four questions, final findings, and recommended next steps.</x:v>
      </x:c>
      <x:c r="F2" s="6" t="str">
        <x:v>A quick reviewer view of the four questions, final findings, and recommended next steps.</x:v>
      </x:c>
      <x:c r="G2" s="6" t="str">
        <x:v>A quick reviewer view of the four questions, final findings, and recommended next steps.</x:v>
      </x:c>
      <x:c r="H2" s="6" t="str">
        <x:v>A quick reviewer view of the four questions, final findings, and recommended next steps.</x:v>
      </x:c>
    </x:row>
    <x:row r="4" ht="24" customHeight="1">
      <x:c r="A4" s="21" t="str">
        <x:v>2018-2024 revenue growth</x:v>
      </x:c>
      <x:c r="B4" s="21" t="str">
        <x:v>2018-2024 revenue growth</x:v>
      </x:c>
      <x:c r="D4" s="21" t="str">
        <x:v>2018-2024 gross-profit growth</x:v>
      </x:c>
      <x:c r="E4" s="21" t="str">
        <x:v>2018-2024 gross-profit growth</x:v>
      </x:c>
      <x:c r="G4" s="21" t="str">
        <x:v>Gross-margin improvement</x:v>
      </x:c>
      <x:c r="H4" s="21" t="str">
        <x:v>Gross-margin improvement</x:v>
      </x:c>
    </x:row>
    <x:row r="5" ht="34" customHeight="1">
      <x:c r="A5" s="27" t="n">
        <x:f>('Annual Trend'!B11/'Annual Trend'!B5)-1</x:f>
        <x:v>0.6500122091498262</x:v>
      </x:c>
      <x:c r="B5" s="28"/>
      <x:c r="D5" s="27" t="n">
        <x:f>('Annual Trend'!C11/'Annual Trend'!C5)-1</x:f>
        <x:v>0.8963974196801217</x:v>
      </x:c>
      <x:c r="E5" s="28"/>
      <x:c r="G5" s="34" t="n">
        <x:f>'Annual Trend'!D11-'Annual Trend'!D5</x:f>
        <x:v>2.8599999999999994</x:v>
      </x:c>
      <x:c r="H5" s="35"/>
    </x:row>
    <x:row r="7" ht="24" customHeight="1">
      <x:c r="A7" s="21" t="str">
        <x:v>Largest segment revenue share</x:v>
      </x:c>
      <x:c r="B7" s="21" t="str">
        <x:v>Largest segment revenue share</x:v>
      </x:c>
      <x:c r="D7" s="21" t="str">
        <x:v>Largest customer revenue share</x:v>
      </x:c>
      <x:c r="E7" s="21" t="str">
        <x:v>Largest customer revenue share</x:v>
      </x:c>
      <x:c r="G7" s="21" t="str">
        <x:v>Trailing revenue baseline at risk</x:v>
      </x:c>
      <x:c r="H7" s="21" t="str">
        <x:v>Trailing revenue baseline at risk</x:v>
      </x:c>
    </x:row>
    <x:row r="8" ht="34" customHeight="1">
      <x:c r="A8" s="41" t="n">
        <x:f>'Segment Profitability'!F5</x:f>
        <x:v>48.7478</x:v>
      </x:c>
      <x:c r="B8" s="42"/>
      <x:c r="D8" s="41" t="n">
        <x:f>'Concentration'!B6</x:f>
        <x:v>1.1305</x:v>
      </x:c>
      <x:c r="E8" s="42"/>
      <x:c r="G8" s="48" t="n">
        <x:f>SUM('Retention Summary'!E5:E9)</x:f>
        <x:v>23046734.36</x:v>
      </x:c>
      <x:c r="H8" s="49"/>
    </x:row>
    <x:row r="11" ht="24" customHeight="1">
      <x:c r="A11" s="16" t="str">
        <x:v>What the findings mean</x:v>
      </x:c>
      <x:c r="B11" s="16" t="str">
        <x:v>What the findings mean</x:v>
      </x:c>
      <x:c r="C11" s="16" t="str">
        <x:v>What the findings mean</x:v>
      </x:c>
      <x:c r="D11" s="16" t="str">
        <x:v>What the findings mean</x:v>
      </x:c>
      <x:c r="E11" s="16" t="str">
        <x:v>What the findings mean</x:v>
      </x:c>
      <x:c r="F11" s="16" t="str">
        <x:v>What the findings mean</x:v>
      </x:c>
      <x:c r="G11" s="16" t="str">
        <x:v>What the findings mean</x:v>
      </x:c>
      <x:c r="H11" s="16" t="str">
        <x:v>What the findings mean</x:v>
      </x:c>
    </x:row>
    <x:row r="12" ht="28" customHeight="1">
      <x:c r="A12" s="10" t="str">
        <x:v>Question</x:v>
      </x:c>
      <x:c r="B12" s="10" t="str">
        <x:v>Plain-language answer</x:v>
      </x:c>
      <x:c r="C12" s="10" t="str">
        <x:v>Practical next step</x:v>
      </x:c>
    </x:row>
    <x:row r="13">
      <x:c r="A13" s="10" t="str">
        <x:v>1. Segment profitability</x:v>
      </x:c>
      <x:c r="B13" s="10" t="str">
        <x:v>Independent Retail is the largest source of both revenue and gross profit.</x:v>
      </x:c>
      <x:c r="C13" s="10" t="str">
        <x:v>Protect that base while testing smaller segments with healthy margins.</x:v>
      </x:c>
    </x:row>
    <x:row r="14">
      <x:c r="A14" s="10" t="str">
        <x:v>2. Concentration</x:v>
      </x:c>
      <x:c r="B14" s="10" t="str">
        <x:v>No single customer dominates revenue, but one segment accounts for almost half of it.</x:v>
      </x:c>
      <x:c r="C14" s="10" t="str">
        <x:v>Track segment concentration alongside customer concentration.</x:v>
      </x:c>
    </x:row>
    <x:row r="15">
      <x:c r="A15" s="10" t="str">
        <x:v>3. Retention</x:v>
      </x:c>
      <x:c r="B15" s="10" t="str">
        <x:v>Recently inactive high-value customers are the clearest outreach targets.</x:v>
      </x:c>
      <x:c r="C15" s="10" t="str">
        <x:v>Contact the 7-12 month group first, then the 4-6 month watch group.</x:v>
      </x:c>
    </x:row>
    <x:row r="16">
      <x:c r="A16" s="10" t="str">
        <x:v>4. Financial trend</x:v>
      </x:c>
      <x:c r="B16" s="10" t="str">
        <x:v>Revenue, gross profit, and gross margin all improved from 2018 through 2024.</x:v>
      </x:c>
      <x:c r="C16" s="10" t="str">
        <x:v>Watch whether growth and margin remain healthy as revenue growth slows.</x:v>
      </x:c>
    </x:row>
    <x:row r="18" ht="36" customHeight="1">
      <x:c r="A18" s="50" t="str">
        <x:v>Scope note: this is descriptive analysis of anonymized, scaled portfolio data. Inactivity is a warning sign, not confirmed churn, and the revenue-at-risk figure is a historical baseline rather than a forecast.</x:v>
      </x:c>
      <x:c r="B18" s="50" t="str">
        <x:v>Scope note: this is descriptive analysis of anonymized, scaled portfolio data. Inactivity is a warning sign, not confirmed churn, and the revenue-at-risk figure is a historical baseline rather than a forecast.</x:v>
      </x:c>
      <x:c r="C18" s="50" t="str">
        <x:v>Scope note: this is descriptive analysis of anonymized, scaled portfolio data. Inactivity is a warning sign, not confirmed churn, and the revenue-at-risk figure is a historical baseline rather than a forecast.</x:v>
      </x:c>
      <x:c r="D18" s="50" t="str">
        <x:v>Scope note: this is descriptive analysis of anonymized, scaled portfolio data. Inactivity is a warning sign, not confirmed churn, and the revenue-at-risk figure is a historical baseline rather than a forecast.</x:v>
      </x:c>
      <x:c r="E18" s="50" t="str">
        <x:v>Scope note: this is descriptive analysis of anonymized, scaled portfolio data. Inactivity is a warning sign, not confirmed churn, and the revenue-at-risk figure is a historical baseline rather than a forecast.</x:v>
      </x:c>
      <x:c r="F18" s="50" t="str">
        <x:v>Scope note: this is descriptive analysis of anonymized, scaled portfolio data. Inactivity is a warning sign, not confirmed churn, and the revenue-at-risk figure is a historical baseline rather than a forecast.</x:v>
      </x:c>
      <x:c r="G18" s="50" t="str">
        <x:v>Scope note: this is descriptive analysis of anonymized, scaled portfolio data. Inactivity is a warning sign, not confirmed churn, and the revenue-at-risk figure is a historical baseline rather than a forecast.</x:v>
      </x:c>
      <x:c r="H18" s="50" t="str">
        <x:v>Scope note: this is descriptive analysis of anonymized, scaled portfolio data. Inactivity is a warning sign, not confirmed churn, and the revenue-at-risk figure is a historical baseline rather than a forecast.</x:v>
      </x:c>
    </x:row>
  </x:sheetData>
  <x:mergeCells>
    <x:mergeCell ref="A1:H1"/>
    <x:mergeCell ref="A2:H2"/>
    <x:mergeCell ref="A4:B4"/>
    <x:mergeCell ref="A5:B5"/>
    <x:mergeCell ref="D4:E4"/>
    <x:mergeCell ref="D5:E5"/>
    <x:mergeCell ref="G4:H4"/>
    <x:mergeCell ref="G5:H5"/>
    <x:mergeCell ref="A7:B7"/>
    <x:mergeCell ref="A8:B8"/>
    <x:mergeCell ref="D7:E7"/>
    <x:mergeCell ref="D8:E8"/>
    <x:mergeCell ref="G7:H7"/>
    <x:mergeCell ref="G8:H8"/>
    <x:mergeCell ref="A11:H11"/>
    <x:mergeCell ref="A18:H18"/>
  </x:mergeCells>
  <x:pageMargins left="0.7" right="0.7" top="0.75" bottom="0.75" header="0.3" footer="0.3"/>
  <x:tableParts count="1">
    <x:tablePart xmlns:r="http://schemas.openxmlformats.org/officeDocument/2006/relationships" r:id="R3cd0c015de1443f2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2" hidden="0" customWidth="1"/>
    <x:col min="3" max="3" width="16" hidden="0" customWidth="1"/>
    <x:col min="4" max="4" width="16" hidden="0" customWidth="1"/>
    <x:col min="5" max="5" width="12" hidden="0" customWidth="1"/>
    <x:col min="6" max="6" width="14" hidden="0" customWidth="1"/>
    <x:col min="7" max="7" width="16" hidden="0" customWidth="1"/>
  </x:cols>
  <x:sheetData>
    <x:row r="1" ht="30" customHeight="1">
      <x:c r="A1" s="3" t="str">
        <x:v>Question 1 | Customer Segment Profitability</x:v>
      </x:c>
      <x:c r="B1" s="3" t="str">
        <x:v>Question 1 | Customer Segment Profitability</x:v>
      </x:c>
      <x:c r="C1" s="3" t="str">
        <x:v>Question 1 | Customer Segment Profitability</x:v>
      </x:c>
      <x:c r="D1" s="3" t="str">
        <x:v>Question 1 | Customer Segment Profitability</x:v>
      </x:c>
      <x:c r="E1" s="3" t="str">
        <x:v>Question 1 | Customer Segment Profitability</x:v>
      </x:c>
      <x:c r="F1" s="3" t="str">
        <x:v>Question 1 | Customer Segment Profitability</x:v>
      </x:c>
      <x:c r="G1" s="3" t="str">
        <x:v>Question 1 | Customer Segment Profitability</x:v>
      </x:c>
    </x:row>
    <x:row r="2" ht="24" customHeight="1">
      <x:c r="A2" s="6" t="str">
        <x:v>Which customer segments drive revenue and profit?</x:v>
      </x:c>
      <x:c r="B2" s="6" t="str">
        <x:v>Which customer segments drive revenue and profit?</x:v>
      </x:c>
      <x:c r="C2" s="6" t="str">
        <x:v>Which customer segments drive revenue and profit?</x:v>
      </x:c>
      <x:c r="D2" s="6" t="str">
        <x:v>Which customer segments drive revenue and profit?</x:v>
      </x:c>
      <x:c r="E2" s="6" t="str">
        <x:v>Which customer segments drive revenue and profit?</x:v>
      </x:c>
      <x:c r="F2" s="6" t="str">
        <x:v>Which customer segments drive revenue and profit?</x:v>
      </x:c>
      <x:c r="G2" s="6" t="str">
        <x:v>Which customer segments drive revenue and profit?</x:v>
      </x:c>
    </x:row>
    <x:row r="4" ht="28" customHeight="1">
      <x:c r="A4" s="10" t="str">
        <x:v>Customer segment</x:v>
      </x:c>
      <x:c r="B4" s="10" t="str">
        <x:v>Customers</x:v>
      </x:c>
      <x:c r="C4" s="10" t="str">
        <x:v>Revenue</x:v>
      </x:c>
      <x:c r="D4" s="10" t="str">
        <x:v>Gross profit</x:v>
      </x:c>
      <x:c r="E4" s="10" t="str">
        <x:v>Margin</x:v>
      </x:c>
      <x:c r="F4" s="10" t="str">
        <x:v>Revenue share</x:v>
      </x:c>
      <x:c r="G4" s="10" t="str">
        <x:v>Gross-profit share</x:v>
      </x:c>
    </x:row>
    <x:row r="5">
      <x:c r="A5" s="10" t="str">
        <x:v>Independent Retail Accounts</x:v>
      </x:c>
      <x:c r="B5" s="11" t="n">
        <x:v>1663</x:v>
      </x:c>
      <x:c r="C5" s="12" t="n">
        <x:v>353140177.88</x:v>
      </x:c>
      <x:c r="D5" s="12" t="n">
        <x:v>79071521.45</x:v>
      </x:c>
      <x:c r="E5" s="13" t="n">
        <x:v>22.391</x:v>
      </x:c>
      <x:c r="F5" s="13" t="n">
        <x:v>48.7478</x:v>
      </x:c>
      <x:c r="G5" s="13" t="n">
        <x:v>51.3727</x:v>
      </x:c>
    </x:row>
    <x:row r="6">
      <x:c r="A6" s="10" t="str">
        <x:v>Wholesale Trade Accounts</x:v>
      </x:c>
      <x:c r="B6" s="11" t="n">
        <x:v>365</x:v>
      </x:c>
      <x:c r="C6" s="12" t="n">
        <x:v>102318681.7</x:v>
      </x:c>
      <x:c r="D6" s="12" t="n">
        <x:v>19378174.36</x:v>
      </x:c>
      <x:c r="E6" s="13" t="n">
        <x:v>18.939</x:v>
      </x:c>
      <x:c r="F6" s="13" t="n">
        <x:v>14.1242</x:v>
      </x:c>
      <x:c r="G6" s="13" t="n">
        <x:v>12.59</x:v>
      </x:c>
    </x:row>
    <x:row r="7">
      <x:c r="A7" s="10" t="str">
        <x:v>Commercial Service Accounts</x:v>
      </x:c>
      <x:c r="B7" s="11" t="n">
        <x:v>465</x:v>
      </x:c>
      <x:c r="C7" s="12" t="n">
        <x:v>43124288.42</x:v>
      </x:c>
      <x:c r="D7" s="12" t="n">
        <x:v>9421874.72</x:v>
      </x:c>
      <x:c r="E7" s="13" t="n">
        <x:v>21.8482</x:v>
      </x:c>
      <x:c r="F7" s="13" t="n">
        <x:v>5.9529</x:v>
      </x:c>
      <x:c r="G7" s="13" t="n">
        <x:v>6.1214</x:v>
      </x:c>
    </x:row>
    <x:row r="8">
      <x:c r="A8" s="10" t="str">
        <x:v>Regional Retail Chain – Tier 2</x:v>
      </x:c>
      <x:c r="B8" s="11" t="n">
        <x:v>18</x:v>
      </x:c>
      <x:c r="C8" s="12" t="n">
        <x:v>29970666.86</x:v>
      </x:c>
      <x:c r="D8" s="12" t="n">
        <x:v>5987315.54</x:v>
      </x:c>
      <x:c r="E8" s="13" t="n">
        <x:v>19.9773</x:v>
      </x:c>
      <x:c r="F8" s="13" t="n">
        <x:v>4.1372</x:v>
      </x:c>
      <x:c r="G8" s="13" t="n">
        <x:v>3.89</x:v>
      </x:c>
    </x:row>
    <x:row r="9">
      <x:c r="A9" s="10" t="str">
        <x:v>National Retail Chains</x:v>
      </x:c>
      <x:c r="B9" s="11" t="n">
        <x:v>115</x:v>
      </x:c>
      <x:c r="C9" s="12" t="n">
        <x:v>21360862.49</x:v>
      </x:c>
      <x:c r="D9" s="12" t="n">
        <x:v>4580439.37</x:v>
      </x:c>
      <x:c r="E9" s="13" t="n">
        <x:v>21.4431</x:v>
      </x:c>
      <x:c r="F9" s="13" t="n">
        <x:v>2.9487</x:v>
      </x:c>
      <x:c r="G9" s="13" t="n">
        <x:v>2.9759</x:v>
      </x:c>
    </x:row>
    <x:row r="10">
      <x:c r="A10" s="10" t="str">
        <x:v>Retail Cooperative Network</x:v>
      </x:c>
      <x:c r="B10" s="11" t="n">
        <x:v>106</x:v>
      </x:c>
      <x:c r="C10" s="12" t="n">
        <x:v>15915531.46</x:v>
      </x:c>
      <x:c r="D10" s="12" t="n">
        <x:v>3805365.34</x:v>
      </x:c>
      <x:c r="E10" s="13" t="n">
        <x:v>23.9098</x:v>
      </x:c>
      <x:c r="F10" s="13" t="n">
        <x:v>2.197</x:v>
      </x:c>
      <x:c r="G10" s="13" t="n">
        <x:v>2.4723</x:v>
      </x:c>
    </x:row>
    <x:row r="11">
      <x:c r="A11" s="10" t="str">
        <x:v>Suburban Retail Chain</x:v>
      </x:c>
      <x:c r="B11" s="11" t="n">
        <x:v>9</x:v>
      </x:c>
      <x:c r="C11" s="12" t="n">
        <x:v>15749424.85</x:v>
      </x:c>
      <x:c r="D11" s="12" t="n">
        <x:v>3545544.7</x:v>
      </x:c>
      <x:c r="E11" s="13" t="n">
        <x:v>22.5122</x:v>
      </x:c>
      <x:c r="F11" s="13" t="n">
        <x:v>2.1741</x:v>
      </x:c>
      <x:c r="G11" s="13" t="n">
        <x:v>2.3035</x:v>
      </x:c>
    </x:row>
    <x:row r="12">
      <x:c r="A12" s="10" t="str">
        <x:v>Regional Retail Chain – Tier 3</x:v>
      </x:c>
      <x:c r="B12" s="11" t="n">
        <x:v>15</x:v>
      </x:c>
      <x:c r="C12" s="12" t="n">
        <x:v>14535478.67</x:v>
      </x:c>
      <x:c r="D12" s="12" t="n">
        <x:v>2943813.84</x:v>
      </x:c>
      <x:c r="E12" s="13" t="n">
        <x:v>20.2526</x:v>
      </x:c>
      <x:c r="F12" s="13" t="n">
        <x:v>2.0065</x:v>
      </x:c>
      <x:c r="G12" s="13" t="n">
        <x:v>1.9126</x:v>
      </x:c>
    </x:row>
    <x:row r="13">
      <x:c r="A13" s="10" t="str">
        <x:v>Multi-Location Retail Group – Premium Tier</x:v>
      </x:c>
      <x:c r="B13" s="11" t="n">
        <x:v>33</x:v>
      </x:c>
      <x:c r="C13" s="12" t="n">
        <x:v>9146888.63</x:v>
      </x:c>
      <x:c r="D13" s="12" t="n">
        <x:v>2098073.22</x:v>
      </x:c>
      <x:c r="E13" s="13" t="n">
        <x:v>22.9376</x:v>
      </x:c>
      <x:c r="F13" s="13" t="n">
        <x:v>1.2626</x:v>
      </x:c>
      <x:c r="G13" s="13" t="n">
        <x:v>1.3631</x:v>
      </x:c>
    </x:row>
    <x:row r="14">
      <x:c r="A14" s="10" t="str">
        <x:v>Commercial Supply Partners</x:v>
      </x:c>
      <x:c r="B14" s="11" t="n">
        <x:v>15</x:v>
      </x:c>
      <x:c r="C14" s="12" t="n">
        <x:v>7371384.56</x:v>
      </x:c>
      <x:c r="D14" s="12" t="n">
        <x:v>1134711.79</x:v>
      </x:c>
      <x:c r="E14" s="13" t="n">
        <x:v>15.3935</x:v>
      </x:c>
      <x:c r="F14" s="13" t="n">
        <x:v>1.0176</x:v>
      </x:c>
      <x:c r="G14" s="13" t="n">
        <x:v>0.7372</x:v>
      </x:c>
    </x:row>
    <x:row r="15">
      <x:c r="A15" s="10" t="str">
        <x:v>Import Distribution Partner</x:v>
      </x:c>
      <x:c r="B15" s="11" t="n">
        <x:v>1</x:v>
      </x:c>
      <x:c r="C15" s="12" t="n">
        <x:v>7275125.35</x:v>
      </x:c>
      <x:c r="D15" s="12" t="n">
        <x:v>1108627.12</x:v>
      </x:c>
      <x:c r="E15" s="13" t="n">
        <x:v>15.2386</x:v>
      </x:c>
      <x:c r="F15" s="13" t="n">
        <x:v>1.0043</x:v>
      </x:c>
      <x:c r="G15" s="13" t="n">
        <x:v>0.7203</x:v>
      </x:c>
    </x:row>
    <x:row r="16">
      <x:c r="A16" s="10" t="str">
        <x:v>Regional Multi-Unit Retail Chain</x:v>
      </x:c>
      <x:c r="B16" s="11" t="n">
        <x:v>5</x:v>
      </x:c>
      <x:c r="C16" s="12" t="n">
        <x:v>7240597.7</x:v>
      </x:c>
      <x:c r="D16" s="12" t="n">
        <x:v>1626397.66</x:v>
      </x:c>
      <x:c r="E16" s="13" t="n">
        <x:v>22.4622</x:v>
      </x:c>
      <x:c r="F16" s="13" t="n">
        <x:v>0.9995</x:v>
      </x:c>
      <x:c r="G16" s="13" t="n">
        <x:v>1.0567</x:v>
      </x:c>
    </x:row>
    <x:row r="17">
      <x:c r="A17" s="10" t="str">
        <x:v>Premium Specialty Retailer</x:v>
      </x:c>
      <x:c r="B17" s="11" t="n">
        <x:v>4</x:v>
      </x:c>
      <x:c r="C17" s="12" t="n">
        <x:v>7146454.35</x:v>
      </x:c>
      <x:c r="D17" s="12" t="n">
        <x:v>1355091.33</x:v>
      </x:c>
      <x:c r="E17" s="13" t="n">
        <x:v>18.9617</x:v>
      </x:c>
      <x:c r="F17" s="13" t="n">
        <x:v>0.9865</x:v>
      </x:c>
      <x:c r="G17" s="13" t="n">
        <x:v>0.8804</x:v>
      </x:c>
    </x:row>
    <x:row r="18">
      <x:c r="A18" s="10" t="str">
        <x:v>Niche Specialty Retailer</x:v>
      </x:c>
      <x:c r="B18" s="11" t="n">
        <x:v>4</x:v>
      </x:c>
      <x:c r="C18" s="12" t="n">
        <x:v>6578110.77</x:v>
      </x:c>
      <x:c r="D18" s="12" t="n">
        <x:v>979101.58</x:v>
      </x:c>
      <x:c r="E18" s="13" t="n">
        <x:v>14.8842</x:v>
      </x:c>
      <x:c r="F18" s="13" t="n">
        <x:v>0.908</x:v>
      </x:c>
      <x:c r="G18" s="13" t="n">
        <x:v>0.6361</x:v>
      </x:c>
    </x:row>
    <x:row r="19">
      <x:c r="A19" s="10" t="str">
        <x:v>Premium Specialty Operator</x:v>
      </x:c>
      <x:c r="B19" s="11" t="n">
        <x:v>6</x:v>
      </x:c>
      <x:c r="C19" s="12" t="n">
        <x:v>5962857.74</x:v>
      </x:c>
      <x:c r="D19" s="12" t="n">
        <x:v>1080711.19</x:v>
      </x:c>
      <x:c r="E19" s="13" t="n">
        <x:v>18.124</x:v>
      </x:c>
      <x:c r="F19" s="13" t="n">
        <x:v>0.8231</x:v>
      </x:c>
      <x:c r="G19" s="13" t="n">
        <x:v>0.7021</x:v>
      </x:c>
    </x:row>
    <x:row r="20">
      <x:c r="A20" s="10" t="str">
        <x:v>Family-Owned Retail Business</x:v>
      </x:c>
      <x:c r="B20" s="11" t="n">
        <x:v>5</x:v>
      </x:c>
      <x:c r="C20" s="12" t="n">
        <x:v>5661920.63</x:v>
      </x:c>
      <x:c r="D20" s="12" t="n">
        <x:v>1149804.7</x:v>
      </x:c>
      <x:c r="E20" s="13" t="n">
        <x:v>20.3077</x:v>
      </x:c>
      <x:c r="F20" s="13" t="n">
        <x:v>0.7816</x:v>
      </x:c>
      <x:c r="G20" s="13" t="n">
        <x:v>0.747</x:v>
      </x:c>
    </x:row>
    <x:row r="21">
      <x:c r="A21" s="10" t="str">
        <x:v>Discount Retail Chain</x:v>
      </x:c>
      <x:c r="B21" s="11" t="n">
        <x:v>34</x:v>
      </x:c>
      <x:c r="C21" s="12" t="n">
        <x:v>5343073.9</x:v>
      </x:c>
      <x:c r="D21" s="12" t="n">
        <x:v>1259892.28</x:v>
      </x:c>
      <x:c r="E21" s="13" t="n">
        <x:v>23.5799</x:v>
      </x:c>
      <x:c r="F21" s="13" t="n">
        <x:v>0.7376</x:v>
      </x:c>
      <x:c r="G21" s="13" t="n">
        <x:v>0.8186</x:v>
      </x:c>
    </x:row>
    <x:row r="22">
      <x:c r="A22" s="10" t="str">
        <x:v>Independent Distribution Partner</x:v>
      </x:c>
      <x:c r="B22" s="11" t="n">
        <x:v>10</x:v>
      </x:c>
      <x:c r="C22" s="12" t="n">
        <x:v>5087891.8</x:v>
      </x:c>
      <x:c r="D22" s="12" t="n">
        <x:v>1228905.48</x:v>
      </x:c>
      <x:c r="E22" s="13" t="n">
        <x:v>24.1535</x:v>
      </x:c>
      <x:c r="F22" s="13" t="n">
        <x:v>0.7023</x:v>
      </x:c>
      <x:c r="G22" s="13" t="n">
        <x:v>0.7984</x:v>
      </x:c>
    </x:row>
    <x:row r="23">
      <x:c r="A23" s="10" t="str">
        <x:v>Cooperative Retail Affiliate</x:v>
      </x:c>
      <x:c r="B23" s="11" t="n">
        <x:v>4</x:v>
      </x:c>
      <x:c r="C23" s="12" t="n">
        <x:v>4937000.78</x:v>
      </x:c>
      <x:c r="D23" s="12" t="n">
        <x:v>824581.22</x:v>
      </x:c>
      <x:c r="E23" s="13" t="n">
        <x:v>16.7021</x:v>
      </x:c>
      <x:c r="F23" s="13" t="n">
        <x:v>0.6815</x:v>
      </x:c>
      <x:c r="G23" s="13" t="n">
        <x:v>0.5357</x:v>
      </x:c>
    </x:row>
    <x:row r="24">
      <x:c r="A24" s="10" t="str">
        <x:v>High-End Urban Retailer</x:v>
      </x:c>
      <x:c r="B24" s="11" t="n">
        <x:v>2</x:v>
      </x:c>
      <x:c r="C24" s="12" t="n">
        <x:v>4697085.43</x:v>
      </x:c>
      <x:c r="D24" s="12" t="n">
        <x:v>841782.72</x:v>
      </x:c>
      <x:c r="E24" s="13" t="n">
        <x:v>17.9214</x:v>
      </x:c>
      <x:c r="F24" s="13" t="n">
        <x:v>0.6484</x:v>
      </x:c>
      <x:c r="G24" s="13" t="n">
        <x:v>0.5469</x:v>
      </x:c>
    </x:row>
    <x:row r="25">
      <x:c r="A25" s="10" t="str">
        <x:v>Regional Specialty Market</x:v>
      </x:c>
      <x:c r="B25" s="11" t="n">
        <x:v>13</x:v>
      </x:c>
      <x:c r="C25" s="12" t="n">
        <x:v>4484414.44</x:v>
      </x:c>
      <x:c r="D25" s="12" t="n">
        <x:v>1072813.86</x:v>
      </x:c>
      <x:c r="E25" s="13" t="n">
        <x:v>23.9232</x:v>
      </x:c>
      <x:c r="F25" s="13" t="n">
        <x:v>0.619</x:v>
      </x:c>
      <x:c r="G25" s="13" t="n">
        <x:v>0.697</x:v>
      </x:c>
    </x:row>
    <x:row r="26">
      <x:c r="A26" s="10" t="str">
        <x:v>Neighborhood Retail Group</x:v>
      </x:c>
      <x:c r="B26" s="11" t="n">
        <x:v>11</x:v>
      </x:c>
      <x:c r="C26" s="12" t="n">
        <x:v>3695985.63</x:v>
      </x:c>
      <x:c r="D26" s="12" t="n">
        <x:v>570021.9</x:v>
      </x:c>
      <x:c r="E26" s="13" t="n">
        <x:v>15.4227</x:v>
      </x:c>
      <x:c r="F26" s="13" t="n">
        <x:v>0.5102</x:v>
      </x:c>
      <x:c r="G26" s="13" t="n">
        <x:v>0.3703</x:v>
      </x:c>
    </x:row>
    <x:row r="27">
      <x:c r="A27" s="10" t="str">
        <x:v>International Retail Chain</x:v>
      </x:c>
      <x:c r="B27" s="11" t="n">
        <x:v>2</x:v>
      </x:c>
      <x:c r="C27" s="12" t="n">
        <x:v>3403626.6</x:v>
      </x:c>
      <x:c r="D27" s="12" t="n">
        <x:v>508006.94</x:v>
      </x:c>
      <x:c r="E27" s="13" t="n">
        <x:v>14.9255</x:v>
      </x:c>
      <x:c r="F27" s="13" t="n">
        <x:v>0.4698</x:v>
      </x:c>
      <x:c r="G27" s="13" t="n">
        <x:v>0.3301</x:v>
      </x:c>
    </x:row>
    <x:row r="28">
      <x:c r="A28" s="10" t="str">
        <x:v>Mid-Size Retail Chain</x:v>
      </x:c>
      <x:c r="B28" s="11" t="n">
        <x:v>30</x:v>
      </x:c>
      <x:c r="C28" s="12" t="n">
        <x:v>3345911.89</x:v>
      </x:c>
      <x:c r="D28" s="12" t="n">
        <x:v>514229.51</x:v>
      </x:c>
      <x:c r="E28" s="13" t="n">
        <x:v>15.3689</x:v>
      </x:c>
      <x:c r="F28" s="13" t="n">
        <x:v>0.4619</x:v>
      </x:c>
      <x:c r="G28" s="13" t="n">
        <x:v>0.3341</x:v>
      </x:c>
    </x:row>
    <x:row r="29">
      <x:c r="A29" s="10" t="str">
        <x:v>Regional Specialty Retailer</x:v>
      </x:c>
      <x:c r="B29" s="11" t="n">
        <x:v>5</x:v>
      </x:c>
      <x:c r="C29" s="12" t="n">
        <x:v>3237656.49</x:v>
      </x:c>
      <x:c r="D29" s="12" t="n">
        <x:v>802858.29</x:v>
      </x:c>
      <x:c r="E29" s="13" t="n">
        <x:v>24.7975</x:v>
      </x:c>
      <x:c r="F29" s="13" t="n">
        <x:v>0.4469</x:v>
      </x:c>
      <x:c r="G29" s="13" t="n">
        <x:v>0.5216</x:v>
      </x:c>
    </x:row>
    <x:row r="30">
      <x:c r="A30" s="10" t="str">
        <x:v>Urban Independent Retailer</x:v>
      </x:c>
      <x:c r="B30" s="11" t="n">
        <x:v>6</x:v>
      </x:c>
      <x:c r="C30" s="12" t="n">
        <x:v>3104253.35</x:v>
      </x:c>
      <x:c r="D30" s="12" t="n">
        <x:v>541999.9</x:v>
      </x:c>
      <x:c r="E30" s="13" t="n">
        <x:v>17.4599</x:v>
      </x:c>
      <x:c r="F30" s="13" t="n">
        <x:v>0.4285</x:v>
      </x:c>
      <x:c r="G30" s="13" t="n">
        <x:v>0.3521</x:v>
      </x:c>
    </x:row>
    <x:row r="31">
      <x:c r="A31" s="10" t="str">
        <x:v>Regional Retail Chain – Tier 1</x:v>
      </x:c>
      <x:c r="B31" s="11" t="n">
        <x:v>17</x:v>
      </x:c>
      <x:c r="C31" s="12" t="n">
        <x:v>2869139.73</x:v>
      </x:c>
      <x:c r="D31" s="12" t="n">
        <x:v>481190.67</x:v>
      </x:c>
      <x:c r="E31" s="13" t="n">
        <x:v>16.7713</x:v>
      </x:c>
      <x:c r="F31" s="13" t="n">
        <x:v>0.3961</x:v>
      </x:c>
      <x:c r="G31" s="13" t="n">
        <x:v>0.3126</x:v>
      </x:c>
    </x:row>
    <x:row r="32">
      <x:c r="A32" s="10" t="str">
        <x:v>Value-Oriented Retail Chain</x:v>
      </x:c>
      <x:c r="B32" s="11" t="n">
        <x:v>27</x:v>
      </x:c>
      <x:c r="C32" s="12" t="n">
        <x:v>2363099.44</x:v>
      </x:c>
      <x:c r="D32" s="12" t="n">
        <x:v>505820.89</x:v>
      </x:c>
      <x:c r="E32" s="13" t="n">
        <x:v>21.405</x:v>
      </x:c>
      <x:c r="F32" s="13" t="n">
        <x:v>0.3262</x:v>
      </x:c>
      <x:c r="G32" s="13" t="n">
        <x:v>0.3286</x:v>
      </x:c>
    </x:row>
    <x:row r="33">
      <x:c r="A33" s="10" t="str">
        <x:v>Suburban Independent Retailer</x:v>
      </x:c>
      <x:c r="B33" s="11" t="n">
        <x:v>5</x:v>
      </x:c>
      <x:c r="C33" s="12" t="n">
        <x:v>2149081.55</x:v>
      </x:c>
      <x:c r="D33" s="12" t="n">
        <x:v>435666.16</x:v>
      </x:c>
      <x:c r="E33" s="13" t="n">
        <x:v>20.2722</x:v>
      </x:c>
      <x:c r="F33" s="13" t="n">
        <x:v>0.2967</x:v>
      </x:c>
      <x:c r="G33" s="13" t="n">
        <x:v>0.2831</x:v>
      </x:c>
    </x:row>
    <x:row r="34">
      <x:c r="A34" s="10" t="str">
        <x:v>Regional Retail Affiliate</x:v>
      </x:c>
      <x:c r="B34" s="11" t="n">
        <x:v>1</x:v>
      </x:c>
      <x:c r="C34" s="12" t="n">
        <x:v>2061966.55</x:v>
      </x:c>
      <x:c r="D34" s="12" t="n">
        <x:v>471237.65</x:v>
      </x:c>
      <x:c r="E34" s="13" t="n">
        <x:v>22.8538</x:v>
      </x:c>
      <x:c r="F34" s="13" t="n">
        <x:v>0.2846</x:v>
      </x:c>
      <x:c r="G34" s="13" t="n">
        <x:v>0.3062</x:v>
      </x:c>
    </x:row>
    <x:row r="35">
      <x:c r="A35" s="10" t="str">
        <x:v>International Specialty Retailer</x:v>
      </x:c>
      <x:c r="B35" s="11" t="n">
        <x:v>2</x:v>
      </x:c>
      <x:c r="C35" s="12" t="n">
        <x:v>1857690.54</x:v>
      </x:c>
      <x:c r="D35" s="12" t="n">
        <x:v>427105.6</x:v>
      </x:c>
      <x:c r="E35" s="13" t="n">
        <x:v>22.9912</x:v>
      </x:c>
      <x:c r="F35" s="13" t="n">
        <x:v>0.2564</x:v>
      </x:c>
      <x:c r="G35" s="13" t="n">
        <x:v>0.2775</x:v>
      </x:c>
    </x:row>
    <x:row r="36">
      <x:c r="A36" s="10" t="str">
        <x:v>Specialty Goods Retailer</x:v>
      </x:c>
      <x:c r="B36" s="11" t="n">
        <x:v>1</x:v>
      </x:c>
      <x:c r="C36" s="12" t="n">
        <x:v>1574927.65</x:v>
      </x:c>
      <x:c r="D36" s="12" t="n">
        <x:v>323790.99</x:v>
      </x:c>
      <x:c r="E36" s="13" t="n">
        <x:v>20.5591</x:v>
      </x:c>
      <x:c r="F36" s="13" t="n">
        <x:v>0.2174</x:v>
      </x:c>
      <x:c r="G36" s="13" t="n">
        <x:v>0.2104</x:v>
      </x:c>
    </x:row>
    <x:row r="37">
      <x:c r="A37" s="10" t="str">
        <x:v>Regional Multi-Unit Operator</x:v>
      </x:c>
      <x:c r="B37" s="11" t="n">
        <x:v>17</x:v>
      </x:c>
      <x:c r="C37" s="12" t="n">
        <x:v>1277993.16</x:v>
      </x:c>
      <x:c r="D37" s="12" t="n">
        <x:v>261979.18</x:v>
      </x:c>
      <x:c r="E37" s="13" t="n">
        <x:v>20.4993</x:v>
      </x:c>
      <x:c r="F37" s="13" t="n">
        <x:v>0.1764</x:v>
      </x:c>
      <x:c r="G37" s="13" t="n">
        <x:v>0.1702</x:v>
      </x:c>
    </x:row>
    <x:row r="38">
      <x:c r="A38" s="10" t="str">
        <x:v>Village Retail Operator</x:v>
      </x:c>
      <x:c r="B38" s="11" t="n">
        <x:v>15</x:v>
      </x:c>
      <x:c r="C38" s="12" t="n">
        <x:v>1249581.84</x:v>
      </x:c>
      <x:c r="D38" s="12" t="n">
        <x:v>275136.27</x:v>
      </x:c>
      <x:c r="E38" s="13" t="n">
        <x:v>22.0183</x:v>
      </x:c>
      <x:c r="F38" s="13" t="n">
        <x:v>0.1725</x:v>
      </x:c>
      <x:c r="G38" s="13" t="n">
        <x:v>0.1788</x:v>
      </x:c>
    </x:row>
    <x:row r="39">
      <x:c r="A39" s="10" t="str">
        <x:v>Farm &amp; Specialty Market</x:v>
      </x:c>
      <x:c r="B39" s="11" t="n">
        <x:v>1</x:v>
      </x:c>
      <x:c r="C39" s="12" t="n">
        <x:v>1154527.22</x:v>
      </x:c>
      <x:c r="D39" s="12" t="n">
        <x:v>198210.98</x:v>
      </x:c>
      <x:c r="E39" s="13" t="n">
        <x:v>17.1682</x:v>
      </x:c>
      <x:c r="F39" s="13" t="n">
        <x:v>0.1594</x:v>
      </x:c>
      <x:c r="G39" s="13" t="n">
        <x:v>0.1288</x:v>
      </x:c>
    </x:row>
    <x:row r="40">
      <x:c r="A40" s="10" t="str">
        <x:v>Metropolitan Retail Group</x:v>
      </x:c>
      <x:c r="B40" s="11" t="n">
        <x:v>6</x:v>
      </x:c>
      <x:c r="C40" s="12" t="n">
        <x:v>1113771.97</x:v>
      </x:c>
      <x:c r="D40" s="12" t="n">
        <x:v>242940.4</x:v>
      </x:c>
      <x:c r="E40" s="13" t="n">
        <x:v>21.8124</x:v>
      </x:c>
      <x:c r="F40" s="13" t="n">
        <x:v>0.1537</x:v>
      </x:c>
      <x:c r="G40" s="13" t="n">
        <x:v>0.1578</x:v>
      </x:c>
    </x:row>
    <x:row r="41">
      <x:c r="A41" s="10" t="str">
        <x:v>Cooperative Member Account</x:v>
      </x:c>
      <x:c r="B41" s="11" t="n">
        <x:v>9</x:v>
      </x:c>
      <x:c r="C41" s="12" t="n">
        <x:v>1033030.15</x:v>
      </x:c>
      <x:c r="D41" s="12" t="n">
        <x:v>249031.61</x:v>
      </x:c>
      <x:c r="E41" s="13" t="n">
        <x:v>24.1069</x:v>
      </x:c>
      <x:c r="F41" s="13" t="n">
        <x:v>0.1426</x:v>
      </x:c>
      <x:c r="G41" s="13" t="n">
        <x:v>0.1618</x:v>
      </x:c>
    </x:row>
    <x:row r="42">
      <x:c r="A42" s="10" t="str">
        <x:v>Specialty Retail – Small Format</x:v>
      </x:c>
      <x:c r="B42" s="11" t="n">
        <x:v>25</x:v>
      </x:c>
      <x:c r="C42" s="12" t="n">
        <x:v>1012865.76</x:v>
      </x:c>
      <x:c r="D42" s="12" t="n">
        <x:v>241323.2</x:v>
      </x:c>
      <x:c r="E42" s="13" t="n">
        <x:v>23.8258</x:v>
      </x:c>
      <x:c r="F42" s="13" t="n">
        <x:v>0.1398</x:v>
      </x:c>
      <x:c r="G42" s="13" t="n">
        <x:v>0.1568</x:v>
      </x:c>
    </x:row>
    <x:row r="43">
      <x:c r="A43" s="10" t="str">
        <x:v>Event &amp; Promotional Accounts</x:v>
      </x:c>
      <x:c r="B43" s="11" t="n">
        <x:v>8</x:v>
      </x:c>
      <x:c r="C43" s="12" t="n">
        <x:v>971103.35</x:v>
      </x:c>
      <x:c r="D43" s="12" t="n">
        <x:v>215643.84</x:v>
      </x:c>
      <x:c r="E43" s="13" t="n">
        <x:v>22.2061</x:v>
      </x:c>
      <x:c r="F43" s="13" t="n">
        <x:v>0.1341</x:v>
      </x:c>
      <x:c r="G43" s="13" t="n">
        <x:v>0.1401</x:v>
      </x:c>
    </x:row>
    <x:row r="44">
      <x:c r="A44" s="10" t="str">
        <x:v>Large Regional Retail Chain</x:v>
      </x:c>
      <x:c r="B44" s="11" t="n">
        <x:v>12</x:v>
      </x:c>
      <x:c r="C44" s="12" t="n">
        <x:v>919618.29</x:v>
      </x:c>
      <x:c r="D44" s="12" t="n">
        <x:v>226221.8</x:v>
      </x:c>
      <x:c r="E44" s="13" t="n">
        <x:v>24.5995</x:v>
      </x:c>
      <x:c r="F44" s="13" t="n">
        <x:v>0.1269</x:v>
      </x:c>
      <x:c r="G44" s="13" t="n">
        <x:v>0.147</x:v>
      </x:c>
    </x:row>
    <x:row r="45">
      <x:c r="A45" s="10" t="str">
        <x:v>Specialty Beverage Retailer</x:v>
      </x:c>
      <x:c r="B45" s="11" t="n">
        <x:v>12</x:v>
      </x:c>
      <x:c r="C45" s="12" t="n">
        <x:v>809854.32</x:v>
      </x:c>
      <x:c r="D45" s="12" t="n">
        <x:v>202846.58</x:v>
      </x:c>
      <x:c r="E45" s="13" t="n">
        <x:v>25.0473</x:v>
      </x:c>
      <x:c r="F45" s="13" t="n">
        <x:v>0.1118</x:v>
      </x:c>
      <x:c r="G45" s="13" t="n">
        <x:v>0.1318</x:v>
      </x:c>
    </x:row>
    <x:row r="46">
      <x:c r="A46" s="10" t="str">
        <x:v>Commercial Supply Vendor</x:v>
      </x:c>
      <x:c r="B46" s="11" t="n">
        <x:v>1</x:v>
      </x:c>
      <x:c r="C46" s="12" t="n">
        <x:v>792457.42</x:v>
      </x:c>
      <x:c r="D46" s="12" t="n">
        <x:v>120493.66</x:v>
      </x:c>
      <x:c r="E46" s="13" t="n">
        <x:v>15.2051</x:v>
      </x:c>
      <x:c r="F46" s="13" t="n">
        <x:v>0.1094</x:v>
      </x:c>
      <x:c r="G46" s="13" t="n">
        <x:v>0.0783</x:v>
      </x:c>
    </x:row>
    <x:row r="47">
      <x:c r="A47" s="10" t="str">
        <x:v>Destination Retail Location</x:v>
      </x:c>
      <x:c r="B47" s="11" t="n">
        <x:v>8</x:v>
      </x:c>
      <x:c r="C47" s="12" t="n">
        <x:v>775403.37</x:v>
      </x:c>
      <x:c r="D47" s="12" t="n">
        <x:v>157719.14</x:v>
      </x:c>
      <x:c r="E47" s="13" t="n">
        <x:v>20.3403</x:v>
      </x:c>
      <x:c r="F47" s="13" t="n">
        <x:v>0.107</x:v>
      </x:c>
      <x:c r="G47" s="13" t="n">
        <x:v>0.1025</x:v>
      </x:c>
    </x:row>
    <x:row r="48">
      <x:c r="A48" s="10" t="str">
        <x:v>Import Marketplace Partner</x:v>
      </x:c>
      <x:c r="B48" s="11" t="n">
        <x:v>2</x:v>
      </x:c>
      <x:c r="C48" s="12" t="n">
        <x:v>706163.08</x:v>
      </x:c>
      <x:c r="D48" s="12" t="n">
        <x:v>159356.2</x:v>
      </x:c>
      <x:c r="E48" s="13" t="n">
        <x:v>22.5665</x:v>
      </x:c>
      <x:c r="F48" s="13" t="n">
        <x:v>0.0975</x:v>
      </x:c>
      <x:c r="G48" s="13" t="n">
        <x:v>0.1035</x:v>
      </x:c>
    </x:row>
    <x:row r="49">
      <x:c r="A49" s="10" t="str">
        <x:v>Manufacturing Partners</x:v>
      </x:c>
      <x:c r="B49" s="11" t="n">
        <x:v>18</x:v>
      </x:c>
      <x:c r="C49" s="12" t="n">
        <x:v>696976.82</x:v>
      </x:c>
      <x:c r="D49" s="12" t="n">
        <x:v>114563.79</x:v>
      </x:c>
      <x:c r="E49" s="13" t="n">
        <x:v>16.4372</x:v>
      </x:c>
      <x:c r="F49" s="13" t="n">
        <x:v>0.0962</x:v>
      </x:c>
      <x:c r="G49" s="13" t="n">
        <x:v>0.0744</x:v>
      </x:c>
    </x:row>
    <x:row r="50">
      <x:c r="A50" s="10" t="str">
        <x:v>Wine &amp; Spirits Retailer</x:v>
      </x:c>
      <x:c r="B50" s="11" t="n">
        <x:v>4</x:v>
      </x:c>
      <x:c r="C50" s="12" t="n">
        <x:v>541469.86</x:v>
      </x:c>
      <x:c r="D50" s="12" t="n">
        <x:v>150900.11</x:v>
      </x:c>
      <x:c r="E50" s="13" t="n">
        <x:v>27.8686</x:v>
      </x:c>
      <x:c r="F50" s="13" t="n">
        <x:v>0.0747</x:v>
      </x:c>
      <x:c r="G50" s="13" t="n">
        <x:v>0.098</x:v>
      </x:c>
    </x:row>
    <x:row r="51">
      <x:c r="A51" s="10" t="str">
        <x:v>National Retail Affiliate</x:v>
      </x:c>
      <x:c r="B51" s="11" t="n">
        <x:v>8</x:v>
      </x:c>
      <x:c r="C51" s="12" t="n">
        <x:v>533909.42</x:v>
      </x:c>
      <x:c r="D51" s="12" t="n">
        <x:v>128372.54</x:v>
      </x:c>
      <x:c r="E51" s="13" t="n">
        <x:v>24.0439</x:v>
      </x:c>
      <x:c r="F51" s="13" t="n">
        <x:v>0.0737</x:v>
      </x:c>
      <x:c r="G51" s="13" t="n">
        <x:v>0.0834</x:v>
      </x:c>
    </x:row>
    <x:row r="52">
      <x:c r="A52" s="10" t="str">
        <x:v>Boutique Retail Operator</x:v>
      </x:c>
      <x:c r="B52" s="11" t="n">
        <x:v>2</x:v>
      </x:c>
      <x:c r="C52" s="12" t="n">
        <x:v>502991.19</x:v>
      </x:c>
      <x:c r="D52" s="12" t="n">
        <x:v>108851.39</x:v>
      </x:c>
      <x:c r="E52" s="13" t="n">
        <x:v>21.6408</x:v>
      </x:c>
      <x:c r="F52" s="13" t="n">
        <x:v>0.0694</x:v>
      </x:c>
      <x:c r="G52" s="13" t="n">
        <x:v>0.0707</x:v>
      </x:c>
    </x:row>
    <x:row r="53">
      <x:c r="A53" s="10" t="str">
        <x:v>Institutional Buyer</x:v>
      </x:c>
      <x:c r="B53" s="11" t="n">
        <x:v>4</x:v>
      </x:c>
      <x:c r="C53" s="12" t="n">
        <x:v>473483.57</x:v>
      </x:c>
      <x:c r="D53" s="12" t="n">
        <x:v>101248.29</x:v>
      </x:c>
      <x:c r="E53" s="13" t="n">
        <x:v>21.3837</x:v>
      </x:c>
      <x:c r="F53" s="13" t="n">
        <x:v>0.0654</x:v>
      </x:c>
      <x:c r="G53" s="13" t="n">
        <x:v>0.0658</x:v>
      </x:c>
    </x:row>
    <x:row r="54">
      <x:c r="A54" s="10" t="str">
        <x:v>Legacy Customer</x:v>
      </x:c>
      <x:c r="B54" s="11" t="n">
        <x:v>1</x:v>
      </x:c>
      <x:c r="C54" s="12" t="n">
        <x:v>463251.08</x:v>
      </x:c>
      <x:c r="D54" s="12" t="n">
        <x:v>91143.85</x:v>
      </x:c>
      <x:c r="E54" s="13" t="n">
        <x:v>19.6748</x:v>
      </x:c>
      <x:c r="F54" s="13" t="n">
        <x:v>0.0639</x:v>
      </x:c>
      <x:c r="G54" s="13" t="n">
        <x:v>0.0592</x:v>
      </x:c>
    </x:row>
    <x:row r="55">
      <x:c r="A55" s="10" t="str">
        <x:v>Urban Boutique Retailer</x:v>
      </x:c>
      <x:c r="B55" s="11" t="n">
        <x:v>5</x:v>
      </x:c>
      <x:c r="C55" s="12" t="n">
        <x:v>338972.77</x:v>
      </x:c>
      <x:c r="D55" s="12" t="n">
        <x:v>48984.81</x:v>
      </x:c>
      <x:c r="E55" s="13" t="n">
        <x:v>14.451</x:v>
      </x:c>
      <x:c r="F55" s="13" t="n">
        <x:v>0.0468</x:v>
      </x:c>
      <x:c r="G55" s="13" t="n">
        <x:v>0.0318</x:v>
      </x:c>
    </x:row>
    <x:row r="56">
      <x:c r="A56" s="10" t="str">
        <x:v>Franchise Retail Member</x:v>
      </x:c>
      <x:c r="B56" s="11" t="n">
        <x:v>3</x:v>
      </x:c>
      <x:c r="C56" s="12" t="n">
        <x:v>313946.26</x:v>
      </x:c>
      <x:c r="D56" s="12" t="n">
        <x:v>62813.67</x:v>
      </x:c>
      <x:c r="E56" s="13" t="n">
        <x:v>20.0078</x:v>
      </x:c>
      <x:c r="F56" s="13" t="n">
        <x:v>0.0433</x:v>
      </x:c>
      <x:c r="G56" s="13" t="n">
        <x:v>0.0408</x:v>
      </x:c>
    </x:row>
    <x:row r="57">
      <x:c r="A57" s="10" t="str">
        <x:v>Inactive / Closed Accounts</x:v>
      </x:c>
      <x:c r="B57" s="11" t="n">
        <x:v>10</x:v>
      </x:c>
      <x:c r="C57" s="12" t="n">
        <x:v>312852.08</x:v>
      </x:c>
      <x:c r="D57" s="12" t="n">
        <x:v>71723.24</x:v>
      </x:c>
      <x:c r="E57" s="13" t="n">
        <x:v>22.9256</x:v>
      </x:c>
      <x:c r="F57" s="13" t="n">
        <x:v>0.0432</x:v>
      </x:c>
      <x:c r="G57" s="13" t="n">
        <x:v>0.0466</x:v>
      </x:c>
    </x:row>
    <x:row r="58">
      <x:c r="A58" s="10" t="str">
        <x:v>Direct-to-Consumer Channel</x:v>
      </x:c>
      <x:c r="B58" s="11" t="n">
        <x:v>32</x:v>
      </x:c>
      <x:c r="C58" s="12" t="n">
        <x:v>307560.26</x:v>
      </x:c>
      <x:c r="D58" s="12" t="n">
        <x:v>80143.45</x:v>
      </x:c>
      <x:c r="E58" s="13" t="n">
        <x:v>26.0578</x:v>
      </x:c>
      <x:c r="F58" s="13" t="n">
        <x:v>0.0425</x:v>
      </x:c>
      <x:c r="G58" s="13" t="n">
        <x:v>0.0521</x:v>
      </x:c>
    </x:row>
    <x:row r="59">
      <x:c r="A59" s="10" t="str">
        <x:v>Corporate Retail Group</x:v>
      </x:c>
      <x:c r="B59" s="11" t="n">
        <x:v>29</x:v>
      </x:c>
      <x:c r="C59" s="12" t="n">
        <x:v>281526.08</x:v>
      </x:c>
      <x:c r="D59" s="12" t="n">
        <x:v>61841.03</x:v>
      </x:c>
      <x:c r="E59" s="13" t="n">
        <x:v>21.9664</x:v>
      </x:c>
      <x:c r="F59" s="13" t="n">
        <x:v>0.0389</x:v>
      </x:c>
      <x:c r="G59" s="13" t="n">
        <x:v>0.0402</x:v>
      </x:c>
    </x:row>
    <x:row r="60">
      <x:c r="A60" s="10" t="str">
        <x:v>Convenience Retail Group</x:v>
      </x:c>
      <x:c r="B60" s="11" t="n">
        <x:v>5</x:v>
      </x:c>
      <x:c r="C60" s="12" t="n">
        <x:v>275677.68</x:v>
      </x:c>
      <x:c r="D60" s="12" t="n">
        <x:v>77105.45</x:v>
      </x:c>
      <x:c r="E60" s="13" t="n">
        <x:v>27.9694</x:v>
      </x:c>
      <x:c r="F60" s="13" t="n">
        <x:v>0.0381</x:v>
      </x:c>
      <x:c r="G60" s="13" t="n">
        <x:v>0.0501</x:v>
      </x:c>
    </x:row>
    <x:row r="61">
      <x:c r="A61" s="10" t="str">
        <x:v>National Retail Affiliate – Secondary</x:v>
      </x:c>
      <x:c r="B61" s="11" t="n">
        <x:v>4</x:v>
      </x:c>
      <x:c r="C61" s="12" t="n">
        <x:v>250449.99</x:v>
      </x:c>
      <x:c r="D61" s="12" t="n">
        <x:v>56822.39</x:v>
      </x:c>
      <x:c r="E61" s="13" t="n">
        <x:v>22.6881</x:v>
      </x:c>
      <x:c r="F61" s="13" t="n">
        <x:v>0.0346</x:v>
      </x:c>
      <x:c r="G61" s="13" t="n">
        <x:v>0.0369</x:v>
      </x:c>
    </x:row>
    <x:row r="62">
      <x:c r="A62" s="10" t="str">
        <x:v>High-Volume Distribution Partner</x:v>
      </x:c>
      <x:c r="B62" s="11" t="n">
        <x:v>2</x:v>
      </x:c>
      <x:c r="C62" s="12" t="n">
        <x:v>191448.08</x:v>
      </x:c>
      <x:c r="D62" s="12" t="n">
        <x:v>38569.22</x:v>
      </x:c>
      <x:c r="E62" s="13" t="n">
        <x:v>20.146</x:v>
      </x:c>
      <x:c r="F62" s="13" t="n">
        <x:v>0.0264</x:v>
      </x:c>
      <x:c r="G62" s="13" t="n">
        <x:v>0.0251</x:v>
      </x:c>
    </x:row>
    <x:row r="63">
      <x:c r="A63" s="10" t="str">
        <x:v>Miscellaneous Trade Accounts</x:v>
      </x:c>
      <x:c r="B63" s="11" t="n">
        <x:v>1</x:v>
      </x:c>
      <x:c r="C63" s="12" t="n">
        <x:v>154905.67</x:v>
      </x:c>
      <x:c r="D63" s="12" t="n">
        <x:v>27504.97</x:v>
      </x:c>
      <x:c r="E63" s="13" t="n">
        <x:v>17.7559</x:v>
      </x:c>
      <x:c r="F63" s="13" t="n">
        <x:v>0.0214</x:v>
      </x:c>
      <x:c r="G63" s="13" t="n">
        <x:v>0.0179</x:v>
      </x:c>
    </x:row>
    <x:row r="64">
      <x:c r="A64" s="10" t="str">
        <x:v>Specialty Distribution Partner</x:v>
      </x:c>
      <x:c r="B64" s="11" t="n">
        <x:v>1</x:v>
      </x:c>
      <x:c r="C64" s="12" t="n">
        <x:v>142503.71</x:v>
      </x:c>
      <x:c r="D64" s="12" t="n">
        <x:v>41367.82</x:v>
      </x:c>
      <x:c r="E64" s="13" t="n">
        <x:v>29.0293</x:v>
      </x:c>
      <x:c r="F64" s="13" t="n">
        <x:v>0.0197</x:v>
      </x:c>
      <x:c r="G64" s="13" t="n">
        <x:v>0.0269</x:v>
      </x:c>
    </x:row>
    <x:row r="65">
      <x:c r="A65" s="10" t="str">
        <x:v>Unassigned</x:v>
      </x:c>
      <x:c r="B65" s="11" t="n">
        <x:v>16</x:v>
      </x:c>
      <x:c r="C65" s="12" t="n">
        <x:v>59751.37</x:v>
      </x:c>
      <x:c r="D65" s="12" t="n">
        <x:v>14752.86</x:v>
      </x:c>
      <x:c r="E65" s="13" t="n">
        <x:v>24.6904</x:v>
      </x:c>
      <x:c r="F65" s="13" t="n">
        <x:v>0.0082</x:v>
      </x:c>
      <x:c r="G65" s="13" t="n">
        <x:v>0.0096</x:v>
      </x:c>
    </x:row>
    <x:row r="66">
      <x:c r="A66" s="10" t="str">
        <x:v>Midwest Specialty Operator</x:v>
      </x:c>
      <x:c r="B66" s="11" t="n">
        <x:v>1</x:v>
      </x:c>
      <x:c r="C66" s="12" t="n">
        <x:v>30097.27</x:v>
      </x:c>
      <x:c r="D66" s="12" t="n">
        <x:v>6238.43</x:v>
      </x:c>
      <x:c r="E66" s="13" t="n">
        <x:v>20.7276</x:v>
      </x:c>
      <x:c r="F66" s="13" t="n">
        <x:v>0.0042</x:v>
      </x:c>
      <x:c r="G66" s="13" t="n">
        <x:v>0.0041</x:v>
      </x:c>
    </x:row>
    <x:row r="67">
      <x:c r="A67" s="10" t="str">
        <x:v>Independent Neighborhood Retailer</x:v>
      </x:c>
      <x:c r="B67" s="11" t="n">
        <x:v>4</x:v>
      </x:c>
      <x:c r="C67" s="12" t="n">
        <x:v>23245.28</x:v>
      </x:c>
      <x:c r="D67" s="12" t="n">
        <x:v>6870.32</x:v>
      </x:c>
      <x:c r="E67" s="13" t="n">
        <x:v>29.5558</x:v>
      </x:c>
      <x:c r="F67" s="13" t="n">
        <x:v>0.0032</x:v>
      </x:c>
      <x:c r="G67" s="13" t="n">
        <x:v>0.0045</x:v>
      </x:c>
    </x:row>
    <x:row r="68">
      <x:c r="A68" s="10" t="str">
        <x:v>Unassigned – Legacy</x:v>
      </x:c>
      <x:c r="B68" s="11" t="n">
        <x:v>1</x:v>
      </x:c>
      <x:c r="C68" s="12" t="n">
        <x:v>640.54</x:v>
      </x:c>
      <x:c r="D68" s="12" t="n">
        <x:v>168.53</x:v>
      </x:c>
      <x:c r="E68" s="13" t="n">
        <x:v>26.3112</x:v>
      </x:c>
      <x:c r="F68" s="13" t="n">
        <x:v>0.0001</x:v>
      </x:c>
      <x:c r="G68" s="13" t="n">
        <x:v>0.0001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4b25b108b4434e1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6" hidden="0" customWidth="1"/>
    <x:col min="3" max="3" width="16" hidden="0" customWidth="1"/>
    <x:col min="4" max="4" width="12" hidden="0" customWidth="1"/>
    <x:col min="5" max="5" width="15" hidden="0" customWidth="1"/>
    <x:col min="6" max="6" width="18" hidden="0" customWidth="1"/>
    <x:col min="7" max="7" width="10" hidden="0" customWidth="1"/>
  </x:cols>
  <x:sheetData>
    <x:row r="1" ht="30" customHeight="1">
      <x:c r="A1" s="3" t="str">
        <x:v>Question 2 | Revenue Concentration</x:v>
      </x:c>
      <x:c r="B1" s="3" t="str">
        <x:v>Question 2 | Revenue Concentration</x:v>
      </x:c>
      <x:c r="C1" s="3" t="str">
        <x:v>Question 2 | Revenue Concentration</x:v>
      </x:c>
      <x:c r="D1" s="3" t="str">
        <x:v>Question 2 | Revenue Concentration</x:v>
      </x:c>
      <x:c r="E1" s="3" t="str">
        <x:v>Question 2 | Revenue Concentration</x:v>
      </x:c>
      <x:c r="F1" s="3" t="str">
        <x:v>Question 2 | Revenue Concentration</x:v>
      </x:c>
      <x:c r="G1" s="3" t="str">
        <x:v>Question 2 | Revenue Concentration</x:v>
      </x:c>
    </x:row>
    <x:row r="2" ht="24" customHeight="1">
      <x:c r="A2" s="6" t="str">
        <x:v>How dependent is the business on a small number of customers or segments?</x:v>
      </x:c>
      <x:c r="B2" s="6" t="str">
        <x:v>How dependent is the business on a small number of customers or segments?</x:v>
      </x:c>
      <x:c r="C2" s="6" t="str">
        <x:v>How dependent is the business on a small number of customers or segments?</x:v>
      </x:c>
      <x:c r="D2" s="6" t="str">
        <x:v>How dependent is the business on a small number of customers or segments?</x:v>
      </x:c>
      <x:c r="E2" s="6" t="str">
        <x:v>How dependent is the business on a small number of customers or segments?</x:v>
      </x:c>
      <x:c r="F2" s="6" t="str">
        <x:v>How dependent is the business on a small number of customers or segments?</x:v>
      </x:c>
      <x:c r="G2" s="6" t="str">
        <x:v>How dependent is the business on a small number of customers or segments?</x:v>
      </x:c>
    </x:row>
    <x:row r="4" ht="24" customHeight="1">
      <x:c r="A4" s="16" t="str">
        <x:v>Headline measures</x:v>
      </x:c>
      <x:c r="B4" s="16" t="str">
        <x:v>Headline measures</x:v>
      </x:c>
      <x:c r="C4" s="16" t="str">
        <x:v>Headline measures</x:v>
      </x:c>
      <x:c r="D4" s="16" t="str">
        <x:v>Headline measures</x:v>
      </x:c>
      <x:c r="E4" s="16" t="str">
        <x:v>Headline measures</x:v>
      </x:c>
      <x:c r="F4" s="16" t="str">
        <x:v>Headline measures</x:v>
      </x:c>
      <x:c r="G4" s="16" t="str">
        <x:v>Headline measures</x:v>
      </x:c>
    </x:row>
    <x:row r="5" ht="28" customHeight="1">
      <x:c r="A5" s="10" t="str">
        <x:v>Measure</x:v>
      </x:c>
      <x:c r="B5" s="10" t="str">
        <x:v>Result</x:v>
      </x:c>
    </x:row>
    <x:row r="6">
      <x:c r="A6" s="10" t="str">
        <x:v>Largest customer revenue share</x:v>
      </x:c>
      <x:c r="B6" s="13" t="n">
        <x:v>1.1305</x:v>
      </x:c>
    </x:row>
    <x:row r="7">
      <x:c r="A7" s="10" t="str">
        <x:v>Top 10 customer revenue share</x:v>
      </x:c>
      <x:c r="B7" s="13" t="n">
        <x:v>7.0866</x:v>
      </x:c>
    </x:row>
    <x:row r="8">
      <x:c r="A8" s="10" t="str">
        <x:v>Top 100 customer revenue share</x:v>
      </x:c>
      <x:c r="B8" s="13" t="n">
        <x:v>33.4092</x:v>
      </x:c>
    </x:row>
    <x:row r="9">
      <x:c r="A9" s="10" t="str">
        <x:v>Customers needed to reach 80%</x:v>
      </x:c>
      <x:c r="B9" s="11" t="n">
        <x:v>599</x:v>
      </x:c>
    </x:row>
    <x:row r="10">
      <x:c r="A10" s="10" t="str">
        <x:v>Largest segment revenue share</x:v>
      </x:c>
      <x:c r="B10" s="13" t="n">
        <x:v>48.75</x:v>
      </x:c>
    </x:row>
    <x:row r="11">
      <x:c r="A11" s="10" t="str">
        <x:v>Top 3 segment revenue share</x:v>
      </x:c>
      <x:c r="B11" s="13" t="n">
        <x:v>68.82</x:v>
      </x:c>
    </x:row>
    <x:row r="12">
      <x:c r="A12" s="10" t="str">
        <x:v>Segments needed to reach 80%</x:v>
      </x:c>
      <x:c r="B12" s="11" t="n">
        <x:v>7</x:v>
      </x:c>
    </x:row>
    <x:row r="14" ht="24" customHeight="1">
      <x:c r="A14" s="16" t="str">
        <x:v>Top 100 customers by revenue</x:v>
      </x:c>
      <x:c r="B14" s="16" t="str">
        <x:v>Top 100 customers by revenue</x:v>
      </x:c>
      <x:c r="C14" s="16" t="str">
        <x:v>Top 100 customers by revenue</x:v>
      </x:c>
      <x:c r="D14" s="16" t="str">
        <x:v>Top 100 customers by revenue</x:v>
      </x:c>
      <x:c r="E14" s="16" t="str">
        <x:v>Top 100 customers by revenue</x:v>
      </x:c>
      <x:c r="F14" s="16" t="str">
        <x:v>Top 100 customers by revenue</x:v>
      </x:c>
      <x:c r="G14" s="16" t="str">
        <x:v>Top 100 customers by revenue</x:v>
      </x:c>
    </x:row>
    <x:row r="15" ht="28" customHeight="1">
      <x:c r="A15" s="10" t="str">
        <x:v>Customer</x:v>
      </x:c>
      <x:c r="B15" s="10" t="str">
        <x:v>Revenue</x:v>
      </x:c>
      <x:c r="C15" s="10" t="str">
        <x:v>Gross profit</x:v>
      </x:c>
      <x:c r="D15" s="10" t="str">
        <x:v>Margin</x:v>
      </x:c>
      <x:c r="E15" s="10" t="str">
        <x:v>Revenue share</x:v>
      </x:c>
      <x:c r="F15" s="10" t="str">
        <x:v>Cumulative revenue</x:v>
      </x:c>
      <x:c r="G15" s="10" t="str">
        <x:v>Rank</x:v>
      </x:c>
    </x:row>
    <x:row r="16">
      <x:c r="A16" s="10" t="str">
        <x:v>CUSTOMER_3123</x:v>
      </x:c>
      <x:c r="B16" s="17" t="n">
        <x:v>8189595.78</x:v>
      </x:c>
      <x:c r="C16" s="17" t="n">
        <x:v>1057286.88</x:v>
      </x:c>
      <x:c r="D16" s="13" t="n">
        <x:v>12.9101</x:v>
      </x:c>
      <x:c r="E16" s="13" t="n">
        <x:v>1.130499</x:v>
      </x:c>
      <x:c r="F16" s="13" t="n">
        <x:v>1.130499</x:v>
      </x:c>
      <x:c r="G16" s="11" t="n">
        <x:v>1</x:v>
      </x:c>
    </x:row>
    <x:row r="17">
      <x:c r="A17" s="10" t="str">
        <x:v>CUSTOMER_3143</x:v>
      </x:c>
      <x:c r="B17" s="17" t="n">
        <x:v>7275125.35</x:v>
      </x:c>
      <x:c r="C17" s="17" t="n">
        <x:v>1108627.12</x:v>
      </x:c>
      <x:c r="D17" s="13" t="n">
        <x:v>15.2386</x:v>
      </x:c>
      <x:c r="E17" s="13" t="n">
        <x:v>1.004264</x:v>
      </x:c>
      <x:c r="F17" s="13" t="n">
        <x:v>2.134763</x:v>
      </x:c>
      <x:c r="G17" s="11" t="n">
        <x:v>2</x:v>
      </x:c>
    </x:row>
    <x:row r="18">
      <x:c r="A18" s="10" t="str">
        <x:v>CUSTOMER_3013</x:v>
      </x:c>
      <x:c r="B18" s="17" t="n">
        <x:v>6026325.46</x:v>
      </x:c>
      <x:c r="C18" s="17" t="n">
        <x:v>1145558.48</x:v>
      </x:c>
      <x:c r="D18" s="13" t="n">
        <x:v>19.0092</x:v>
      </x:c>
      <x:c r="E18" s="13" t="n">
        <x:v>0.831879</x:v>
      </x:c>
      <x:c r="F18" s="13" t="n">
        <x:v>2.966642</x:v>
      </x:c>
      <x:c r="G18" s="11" t="n">
        <x:v>3</x:v>
      </x:c>
    </x:row>
    <x:row r="19">
      <x:c r="A19" s="10" t="str">
        <x:v>CUSTOMER_1781</x:v>
      </x:c>
      <x:c r="B19" s="17" t="n">
        <x:v>4947874.76</x:v>
      </x:c>
      <x:c r="C19" s="17" t="n">
        <x:v>1045255.35</x:v>
      </x:c>
      <x:c r="D19" s="13" t="n">
        <x:v>21.1253</x:v>
      </x:c>
      <x:c r="E19" s="13" t="n">
        <x:v>0.683009</x:v>
      </x:c>
      <x:c r="F19" s="13" t="n">
        <x:v>3.649651</x:v>
      </x:c>
      <x:c r="G19" s="11" t="n">
        <x:v>4</x:v>
      </x:c>
    </x:row>
    <x:row r="20">
      <x:c r="A20" s="10" t="str">
        <x:v>CUSTOMER_3156</x:v>
      </x:c>
      <x:c r="B20" s="17" t="n">
        <x:v>4799967.06</x:v>
      </x:c>
      <x:c r="C20" s="17" t="n">
        <x:v>674170.96</x:v>
      </x:c>
      <x:c r="D20" s="13" t="n">
        <x:v>14.0453</x:v>
      </x:c>
      <x:c r="E20" s="13" t="n">
        <x:v>0.662591</x:v>
      </x:c>
      <x:c r="F20" s="13" t="n">
        <x:v>4.312242</x:v>
      </x:c>
      <x:c r="G20" s="11" t="n">
        <x:v>5</x:v>
      </x:c>
    </x:row>
    <x:row r="21">
      <x:c r="A21" s="10" t="str">
        <x:v>CUSTOMER_3055</x:v>
      </x:c>
      <x:c r="B21" s="17" t="n">
        <x:v>4698216.88</x:v>
      </x:c>
      <x:c r="C21" s="17" t="n">
        <x:v>842268</x:v>
      </x:c>
      <x:c r="D21" s="13" t="n">
        <x:v>17.9274</x:v>
      </x:c>
      <x:c r="E21" s="13" t="n">
        <x:v>0.648546</x:v>
      </x:c>
      <x:c r="F21" s="13" t="n">
        <x:v>4.960788</x:v>
      </x:c>
      <x:c r="G21" s="11" t="n">
        <x:v>6</x:v>
      </x:c>
    </x:row>
    <x:row r="22">
      <x:c r="A22" s="10" t="str">
        <x:v>CUSTOMER_0733</x:v>
      </x:c>
      <x:c r="B22" s="17" t="n">
        <x:v>3950658.78</x:v>
      </x:c>
      <x:c r="C22" s="17" t="n">
        <x:v>773265.67</x:v>
      </x:c>
      <x:c r="D22" s="13" t="n">
        <x:v>19.5731</x:v>
      </x:c>
      <x:c r="E22" s="13" t="n">
        <x:v>0.545352</x:v>
      </x:c>
      <x:c r="F22" s="13" t="n">
        <x:v>5.506141</x:v>
      </x:c>
      <x:c r="G22" s="11" t="n">
        <x:v>7</x:v>
      </x:c>
    </x:row>
    <x:row r="23">
      <x:c r="A23" s="10" t="str">
        <x:v>CUSTOMER_0465</x:v>
      </x:c>
      <x:c r="B23" s="17" t="n">
        <x:v>3877837.97</x:v>
      </x:c>
      <x:c r="C23" s="17" t="n">
        <x:v>841133.16</x:v>
      </x:c>
      <x:c r="D23" s="13" t="n">
        <x:v>21.6908</x:v>
      </x:c>
      <x:c r="E23" s="13" t="n">
        <x:v>0.5353</x:v>
      </x:c>
      <x:c r="F23" s="13" t="n">
        <x:v>6.041441</x:v>
      </x:c>
      <x:c r="G23" s="11" t="n">
        <x:v>8</x:v>
      </x:c>
    </x:row>
    <x:row r="24">
      <x:c r="A24" s="10" t="str">
        <x:v>CUSTOMER_1387</x:v>
      </x:c>
      <x:c r="B24" s="17" t="n">
        <x:v>3866893.93</x:v>
      </x:c>
      <x:c r="C24" s="17" t="n">
        <x:v>746065.36</x:v>
      </x:c>
      <x:c r="D24" s="13" t="n">
        <x:v>19.2937</x:v>
      </x:c>
      <x:c r="E24" s="13" t="n">
        <x:v>0.533789</x:v>
      </x:c>
      <x:c r="F24" s="13" t="n">
        <x:v>6.57523</x:v>
      </x:c>
      <x:c r="G24" s="11" t="n">
        <x:v>9</x:v>
      </x:c>
    </x:row>
    <x:row r="25">
      <x:c r="A25" s="10" t="str">
        <x:v>CUSTOMER_1202</x:v>
      </x:c>
      <x:c r="B25" s="17" t="n">
        <x:v>3704356.23</x:v>
      </x:c>
      <x:c r="C25" s="17" t="n">
        <x:v>648857.4</x:v>
      </x:c>
      <x:c r="D25" s="13" t="n">
        <x:v>17.5161</x:v>
      </x:c>
      <x:c r="E25" s="13" t="n">
        <x:v>0.511352</x:v>
      </x:c>
      <x:c r="F25" s="13" t="n">
        <x:v>7.086582</x:v>
      </x:c>
      <x:c r="G25" s="11" t="n">
        <x:v>10</x:v>
      </x:c>
    </x:row>
    <x:row r="26">
      <x:c r="A26" s="10" t="str">
        <x:v>CUSTOMER_0640</x:v>
      </x:c>
      <x:c r="B26" s="17" t="n">
        <x:v>3695985.63</x:v>
      </x:c>
      <x:c r="C26" s="17" t="n">
        <x:v>571194.94</x:v>
      </x:c>
      <x:c r="D26" s="13" t="n">
        <x:v>15.4545</x:v>
      </x:c>
      <x:c r="E26" s="13" t="n">
        <x:v>0.510197</x:v>
      </x:c>
      <x:c r="F26" s="13" t="n">
        <x:v>7.596779</x:v>
      </x:c>
      <x:c r="G26" s="11" t="n">
        <x:v>11</x:v>
      </x:c>
    </x:row>
    <x:row r="27">
      <x:c r="A27" s="10" t="str">
        <x:v>CUSTOMER_0122</x:v>
      </x:c>
      <x:c r="B27" s="17" t="n">
        <x:v>3554142.65</x:v>
      </x:c>
      <x:c r="C27" s="17" t="n">
        <x:v>789122.83</x:v>
      </x:c>
      <x:c r="D27" s="13" t="n">
        <x:v>22.2029</x:v>
      </x:c>
      <x:c r="E27" s="13" t="n">
        <x:v>0.490617</x:v>
      </x:c>
      <x:c r="F27" s="13" t="n">
        <x:v>8.087396</x:v>
      </x:c>
      <x:c r="G27" s="11" t="n">
        <x:v>12</x:v>
      </x:c>
    </x:row>
    <x:row r="28">
      <x:c r="A28" s="10" t="str">
        <x:v>CUSTOMER_2314</x:v>
      </x:c>
      <x:c r="B28" s="17" t="n">
        <x:v>3515722.15</x:v>
      </x:c>
      <x:c r="C28" s="17" t="n">
        <x:v>882715.31</x:v>
      </x:c>
      <x:c r="D28" s="13" t="n">
        <x:v>25.1077</x:v>
      </x:c>
      <x:c r="E28" s="13" t="n">
        <x:v>0.485313</x:v>
      </x:c>
      <x:c r="F28" s="13" t="n">
        <x:v>8.572709</x:v>
      </x:c>
      <x:c r="G28" s="11" t="n">
        <x:v>13</x:v>
      </x:c>
    </x:row>
    <x:row r="29">
      <x:c r="A29" s="10" t="str">
        <x:v>CUSTOMER_1203</x:v>
      </x:c>
      <x:c r="B29" s="17" t="n">
        <x:v>3481881.69</x:v>
      </x:c>
      <x:c r="C29" s="17" t="n">
        <x:v>746879.59</x:v>
      </x:c>
      <x:c r="D29" s="13" t="n">
        <x:v>21.4505</x:v>
      </x:c>
      <x:c r="E29" s="13" t="n">
        <x:v>0.480642</x:v>
      </x:c>
      <x:c r="F29" s="13" t="n">
        <x:v>9.053351</x:v>
      </x:c>
      <x:c r="G29" s="11" t="n">
        <x:v>14</x:v>
      </x:c>
    </x:row>
    <x:row r="30">
      <x:c r="A30" s="10" t="str">
        <x:v>CUSTOMER_1099</x:v>
      </x:c>
      <x:c r="B30" s="17" t="n">
        <x:v>3416962.7</x:v>
      </x:c>
      <x:c r="C30" s="17" t="n">
        <x:v>534241.83</x:v>
      </x:c>
      <x:c r="D30" s="13" t="n">
        <x:v>15.635</x:v>
      </x:c>
      <x:c r="E30" s="13" t="n">
        <x:v>0.47168</x:v>
      </x:c>
      <x:c r="F30" s="13" t="n">
        <x:v>9.525032</x:v>
      </x:c>
      <x:c r="G30" s="11" t="n">
        <x:v>15</x:v>
      </x:c>
    </x:row>
    <x:row r="31">
      <x:c r="A31" s="10" t="str">
        <x:v>CUSTOMER_2276</x:v>
      </x:c>
      <x:c r="B31" s="17" t="n">
        <x:v>3311630.42</x:v>
      </x:c>
      <x:c r="C31" s="17" t="n">
        <x:v>680000.67</x:v>
      </x:c>
      <x:c r="D31" s="13" t="n">
        <x:v>20.5337</x:v>
      </x:c>
      <x:c r="E31" s="13" t="n">
        <x:v>0.45714</x:v>
      </x:c>
      <x:c r="F31" s="13" t="n">
        <x:v>9.982172</x:v>
      </x:c>
      <x:c r="G31" s="11" t="n">
        <x:v>16</x:v>
      </x:c>
    </x:row>
    <x:row r="32">
      <x:c r="A32" s="10" t="str">
        <x:v>CUSTOMER_1201</x:v>
      </x:c>
      <x:c r="B32" s="17" t="n">
        <x:v>3275518.18</x:v>
      </x:c>
      <x:c r="C32" s="17" t="n">
        <x:v>644967.54</x:v>
      </x:c>
      <x:c r="D32" s="13" t="n">
        <x:v>19.6905</x:v>
      </x:c>
      <x:c r="E32" s="13" t="n">
        <x:v>0.452155</x:v>
      </x:c>
      <x:c r="F32" s="13" t="n">
        <x:v>10.434327</x:v>
      </x:c>
      <x:c r="G32" s="11" t="n">
        <x:v>17</x:v>
      </x:c>
    </x:row>
    <x:row r="33">
      <x:c r="A33" s="10" t="str">
        <x:v>CUSTOMER_0663</x:v>
      </x:c>
      <x:c r="B33" s="17" t="n">
        <x:v>3233103.71</x:v>
      </x:c>
      <x:c r="C33" s="17" t="n">
        <x:v>640698.29</x:v>
      </x:c>
      <x:c r="D33" s="13" t="n">
        <x:v>19.8168</x:v>
      </x:c>
      <x:c r="E33" s="13" t="n">
        <x:v>0.4463</x:v>
      </x:c>
      <x:c r="F33" s="13" t="n">
        <x:v>10.880627</x:v>
      </x:c>
      <x:c r="G33" s="11" t="n">
        <x:v>18</x:v>
      </x:c>
    </x:row>
    <x:row r="34">
      <x:c r="A34" s="10" t="str">
        <x:v>CUSTOMER_1568</x:v>
      </x:c>
      <x:c r="B34" s="17" t="n">
        <x:v>3216338.34</x:v>
      </x:c>
      <x:c r="C34" s="17" t="n">
        <x:v>768906.01</x:v>
      </x:c>
      <x:c r="D34" s="13" t="n">
        <x:v>23.9063</x:v>
      </x:c>
      <x:c r="E34" s="13" t="n">
        <x:v>0.443986</x:v>
      </x:c>
      <x:c r="F34" s="13" t="n">
        <x:v>11.324614</x:v>
      </x:c>
      <x:c r="G34" s="11" t="n">
        <x:v>19</x:v>
      </x:c>
    </x:row>
    <x:row r="35">
      <x:c r="A35" s="10" t="str">
        <x:v>CUSTOMER_3046</x:v>
      </x:c>
      <x:c r="B35" s="17" t="n">
        <x:v>3207302.36</x:v>
      </x:c>
      <x:c r="C35" s="17" t="n">
        <x:v>449038.26</x:v>
      </x:c>
      <x:c r="D35" s="13" t="n">
        <x:v>14.0005</x:v>
      </x:c>
      <x:c r="E35" s="13" t="n">
        <x:v>0.442739</x:v>
      </x:c>
      <x:c r="F35" s="13" t="n">
        <x:v>11.767352</x:v>
      </x:c>
      <x:c r="G35" s="11" t="n">
        <x:v>20</x:v>
      </x:c>
    </x:row>
    <x:row r="36">
      <x:c r="A36" s="10" t="str">
        <x:v>CUSTOMER_0787</x:v>
      </x:c>
      <x:c r="B36" s="17" t="n">
        <x:v>3005232.5</x:v>
      </x:c>
      <x:c r="C36" s="17" t="n">
        <x:v>610761.23</x:v>
      </x:c>
      <x:c r="D36" s="13" t="n">
        <x:v>20.3233</x:v>
      </x:c>
      <x:c r="E36" s="13" t="n">
        <x:v>0.414845</x:v>
      </x:c>
      <x:c r="F36" s="13" t="n">
        <x:v>12.182197</x:v>
      </x:c>
      <x:c r="G36" s="11" t="n">
        <x:v>21</x:v>
      </x:c>
    </x:row>
    <x:row r="37">
      <x:c r="A37" s="10" t="str">
        <x:v>CUSTOMER_1566</x:v>
      </x:c>
      <x:c r="B37" s="17" t="n">
        <x:v>2895224.75</x:v>
      </x:c>
      <x:c r="C37" s="17" t="n">
        <x:v>670254.11</x:v>
      </x:c>
      <x:c r="D37" s="13" t="n">
        <x:v>23.1503</x:v>
      </x:c>
      <x:c r="E37" s="13" t="n">
        <x:v>0.399659</x:v>
      </x:c>
      <x:c r="F37" s="13" t="n">
        <x:v>12.581856</x:v>
      </x:c>
      <x:c r="G37" s="11" t="n">
        <x:v>22</x:v>
      </x:c>
    </x:row>
    <x:row r="38">
      <x:c r="A38" s="10" t="str">
        <x:v>CUSTOMER_1228</x:v>
      </x:c>
      <x:c r="B38" s="17" t="n">
        <x:v>2815644.7</x:v>
      </x:c>
      <x:c r="C38" s="17" t="n">
        <x:v>337620.63</x:v>
      </x:c>
      <x:c r="D38" s="13" t="n">
        <x:v>11.9909</x:v>
      </x:c>
      <x:c r="E38" s="13" t="n">
        <x:v>0.388674</x:v>
      </x:c>
      <x:c r="F38" s="13" t="n">
        <x:v>12.97053</x:v>
      </x:c>
      <x:c r="G38" s="11" t="n">
        <x:v>23</x:v>
      </x:c>
    </x:row>
    <x:row r="39">
      <x:c r="A39" s="10" t="str">
        <x:v>CUSTOMER_0662</x:v>
      </x:c>
      <x:c r="B39" s="17" t="n">
        <x:v>2765121.21</x:v>
      </x:c>
      <x:c r="C39" s="17" t="n">
        <x:v>511235.57</x:v>
      </x:c>
      <x:c r="D39" s="13" t="n">
        <x:v>18.4887</x:v>
      </x:c>
      <x:c r="E39" s="13" t="n">
        <x:v>0.3817</x:v>
      </x:c>
      <x:c r="F39" s="13" t="n">
        <x:v>13.35223</x:v>
      </x:c>
      <x:c r="G39" s="11" t="n">
        <x:v>24</x:v>
      </x:c>
    </x:row>
    <x:row r="40">
      <x:c r="A40" s="10" t="str">
        <x:v>CUSTOMER_1663</x:v>
      </x:c>
      <x:c r="B40" s="17" t="n">
        <x:v>2688350.65</x:v>
      </x:c>
      <x:c r="C40" s="17" t="n">
        <x:v>619939.14</x:v>
      </x:c>
      <x:c r="D40" s="13" t="n">
        <x:v>23.0602</x:v>
      </x:c>
      <x:c r="E40" s="13" t="n">
        <x:v>0.371102</x:v>
      </x:c>
      <x:c r="F40" s="13" t="n">
        <x:v>13.723332</x:v>
      </x:c>
      <x:c r="G40" s="11" t="n">
        <x:v>25</x:v>
      </x:c>
    </x:row>
    <x:row r="41">
      <x:c r="A41" s="10" t="str">
        <x:v>CUSTOMER_0670</x:v>
      </x:c>
      <x:c r="B41" s="17" t="n">
        <x:v>2665741.97</x:v>
      </x:c>
      <x:c r="C41" s="17" t="n">
        <x:v>553863.21</x:v>
      </x:c>
      <x:c r="D41" s="13" t="n">
        <x:v>20.7771</x:v>
      </x:c>
      <x:c r="E41" s="13" t="n">
        <x:v>0.367981</x:v>
      </x:c>
      <x:c r="F41" s="13" t="n">
        <x:v>14.091313</x:v>
      </x:c>
      <x:c r="G41" s="11" t="n">
        <x:v>26</x:v>
      </x:c>
    </x:row>
    <x:row r="42">
      <x:c r="A42" s="10" t="str">
        <x:v>CUSTOMER_1372</x:v>
      </x:c>
      <x:c r="B42" s="17" t="n">
        <x:v>2662087.92</x:v>
      </x:c>
      <x:c r="C42" s="17" t="n">
        <x:v>492266.67</x:v>
      </x:c>
      <x:c r="D42" s="13" t="n">
        <x:v>18.4918</x:v>
      </x:c>
      <x:c r="E42" s="13" t="n">
        <x:v>0.367477</x:v>
      </x:c>
      <x:c r="F42" s="13" t="n">
        <x:v>14.45879</x:v>
      </x:c>
      <x:c r="G42" s="11" t="n">
        <x:v>27</x:v>
      </x:c>
    </x:row>
    <x:row r="43">
      <x:c r="A43" s="10" t="str">
        <x:v>CUSTOMER_0488</x:v>
      </x:c>
      <x:c r="B43" s="17" t="n">
        <x:v>2656709.36</x:v>
      </x:c>
      <x:c r="C43" s="17" t="n">
        <x:v>644559.34</x:v>
      </x:c>
      <x:c r="D43" s="13" t="n">
        <x:v>24.2616</x:v>
      </x:c>
      <x:c r="E43" s="13" t="n">
        <x:v>0.366734</x:v>
      </x:c>
      <x:c r="F43" s="13" t="n">
        <x:v>14.825525</x:v>
      </x:c>
      <x:c r="G43" s="11" t="n">
        <x:v>28</x:v>
      </x:c>
    </x:row>
    <x:row r="44">
      <x:c r="A44" s="10" t="str">
        <x:v>CUSTOMER_0124</x:v>
      </x:c>
      <x:c r="B44" s="17" t="n">
        <x:v>2532710.13</x:v>
      </x:c>
      <x:c r="C44" s="17" t="n">
        <x:v>531629.75</x:v>
      </x:c>
      <x:c r="D44" s="13" t="n">
        <x:v>20.9905</x:v>
      </x:c>
      <x:c r="E44" s="13" t="n">
        <x:v>0.349617</x:v>
      </x:c>
      <x:c r="F44" s="13" t="n">
        <x:v>15.175142</x:v>
      </x:c>
      <x:c r="G44" s="11" t="n">
        <x:v>29</x:v>
      </x:c>
    </x:row>
    <x:row r="45">
      <x:c r="A45" s="10" t="str">
        <x:v>CUSTOMER_1668</x:v>
      </x:c>
      <x:c r="B45" s="17" t="n">
        <x:v>2460565.43</x:v>
      </x:c>
      <x:c r="C45" s="17" t="n">
        <x:v>538659.4</x:v>
      </x:c>
      <x:c r="D45" s="13" t="n">
        <x:v>21.8917</x:v>
      </x:c>
      <x:c r="E45" s="13" t="n">
        <x:v>0.339659</x:v>
      </x:c>
      <x:c r="F45" s="13" t="n">
        <x:v>15.514801</x:v>
      </x:c>
      <x:c r="G45" s="11" t="n">
        <x:v>30</x:v>
      </x:c>
    </x:row>
    <x:row r="46">
      <x:c r="A46" s="10" t="str">
        <x:v>CUSTOMER_0424</x:v>
      </x:c>
      <x:c r="B46" s="17" t="n">
        <x:v>2458262.92</x:v>
      </x:c>
      <x:c r="C46" s="17" t="n">
        <x:v>572846.07</x:v>
      </x:c>
      <x:c r="D46" s="13" t="n">
        <x:v>23.3029</x:v>
      </x:c>
      <x:c r="E46" s="13" t="n">
        <x:v>0.339341</x:v>
      </x:c>
      <x:c r="F46" s="13" t="n">
        <x:v>15.854141</x:v>
      </x:c>
      <x:c r="G46" s="11" t="n">
        <x:v>31</x:v>
      </x:c>
    </x:row>
    <x:row r="47">
      <x:c r="A47" s="10" t="str">
        <x:v>CUSTOMER_1722</x:v>
      </x:c>
      <x:c r="B47" s="17" t="n">
        <x:v>2429169.21</x:v>
      </x:c>
      <x:c r="C47" s="17" t="n">
        <x:v>473312.35</x:v>
      </x:c>
      <x:c r="D47" s="13" t="n">
        <x:v>19.4845</x:v>
      </x:c>
      <x:c r="E47" s="13" t="n">
        <x:v>0.335325</x:v>
      </x:c>
      <x:c r="F47" s="13" t="n">
        <x:v>16.189466</x:v>
      </x:c>
      <x:c r="G47" s="11" t="n">
        <x:v>32</x:v>
      </x:c>
    </x:row>
    <x:row r="48">
      <x:c r="A48" s="10" t="str">
        <x:v>CUSTOMER_0658</x:v>
      </x:c>
      <x:c r="B48" s="17" t="n">
        <x:v>2422705.42</x:v>
      </x:c>
      <x:c r="C48" s="17" t="n">
        <x:v>474514.26</x:v>
      </x:c>
      <x:c r="D48" s="13" t="n">
        <x:v>19.5861</x:v>
      </x:c>
      <x:c r="E48" s="13" t="n">
        <x:v>0.334432</x:v>
      </x:c>
      <x:c r="F48" s="13" t="n">
        <x:v>16.523898</x:v>
      </x:c>
      <x:c r="G48" s="11" t="n">
        <x:v>33</x:v>
      </x:c>
    </x:row>
    <x:row r="49">
      <x:c r="A49" s="10" t="str">
        <x:v>CUSTOMER_0416</x:v>
      </x:c>
      <x:c r="B49" s="17" t="n">
        <x:v>2368938.12</x:v>
      </x:c>
      <x:c r="C49" s="17" t="n">
        <x:v>542737.94</x:v>
      </x:c>
      <x:c r="D49" s="13" t="n">
        <x:v>22.9106</x:v>
      </x:c>
      <x:c r="E49" s="13" t="n">
        <x:v>0.32701</x:v>
      </x:c>
      <x:c r="F49" s="13" t="n">
        <x:v>16.850908</x:v>
      </x:c>
      <x:c r="G49" s="11" t="n">
        <x:v>34</x:v>
      </x:c>
    </x:row>
    <x:row r="50">
      <x:c r="A50" s="10" t="str">
        <x:v>CUSTOMER_2479</x:v>
      </x:c>
      <x:c r="B50" s="17" t="n">
        <x:v>2363107.4</x:v>
      </x:c>
      <x:c r="C50" s="17" t="n">
        <x:v>434247.56</x:v>
      </x:c>
      <x:c r="D50" s="13" t="n">
        <x:v>18.3761</x:v>
      </x:c>
      <x:c r="E50" s="13" t="n">
        <x:v>0.326205</x:v>
      </x:c>
      <x:c r="F50" s="13" t="n">
        <x:v>17.177114</x:v>
      </x:c>
      <x:c r="G50" s="11" t="n">
        <x:v>35</x:v>
      </x:c>
    </x:row>
    <x:row r="51">
      <x:c r="A51" s="10" t="str">
        <x:v>CUSTOMER_0667</x:v>
      </x:c>
      <x:c r="B51" s="17" t="n">
        <x:v>2351622.96</x:v>
      </x:c>
      <x:c r="C51" s="17" t="n">
        <x:v>510637.95</x:v>
      </x:c>
      <x:c r="D51" s="13" t="n">
        <x:v>21.7143</x:v>
      </x:c>
      <x:c r="E51" s="13" t="n">
        <x:v>0.32462</x:v>
      </x:c>
      <x:c r="F51" s="13" t="n">
        <x:v>17.501734</x:v>
      </x:c>
      <x:c r="G51" s="11" t="n">
        <x:v>36</x:v>
      </x:c>
    </x:row>
    <x:row r="52">
      <x:c r="A52" s="10" t="str">
        <x:v>CUSTOMER_2048</x:v>
      </x:c>
      <x:c r="B52" s="17" t="n">
        <x:v>2316573.53</x:v>
      </x:c>
      <x:c r="C52" s="17" t="n">
        <x:v>574826.34</x:v>
      </x:c>
      <x:c r="D52" s="13" t="n">
        <x:v>24.8136</x:v>
      </x:c>
      <x:c r="E52" s="13" t="n">
        <x:v>0.319782</x:v>
      </x:c>
      <x:c r="F52" s="13" t="n">
        <x:v>17.821515</x:v>
      </x:c>
      <x:c r="G52" s="11" t="n">
        <x:v>37</x:v>
      </x:c>
    </x:row>
    <x:row r="53">
      <x:c r="A53" s="10" t="str">
        <x:v>CUSTOMER_0951</x:v>
      </x:c>
      <x:c r="B53" s="17" t="n">
        <x:v>2291497.07</x:v>
      </x:c>
      <x:c r="C53" s="17" t="n">
        <x:v>432602.82</x:v>
      </x:c>
      <x:c r="D53" s="13" t="n">
        <x:v>18.8786</x:v>
      </x:c>
      <x:c r="E53" s="13" t="n">
        <x:v>0.31632</x:v>
      </x:c>
      <x:c r="F53" s="13" t="n">
        <x:v>18.137836</x:v>
      </x:c>
      <x:c r="G53" s="11" t="n">
        <x:v>38</x:v>
      </x:c>
    </x:row>
    <x:row r="54">
      <x:c r="A54" s="10" t="str">
        <x:v>CUSTOMER_0839</x:v>
      </x:c>
      <x:c r="B54" s="17" t="n">
        <x:v>2289960.8</x:v>
      </x:c>
      <x:c r="C54" s="17" t="n">
        <x:v>455819.69</x:v>
      </x:c>
      <x:c r="D54" s="13" t="n">
        <x:v>19.9051</x:v>
      </x:c>
      <x:c r="E54" s="13" t="n">
        <x:v>0.316108</x:v>
      </x:c>
      <x:c r="F54" s="13" t="n">
        <x:v>18.453944</x:v>
      </x:c>
      <x:c r="G54" s="11" t="n">
        <x:v>39</x:v>
      </x:c>
    </x:row>
    <x:row r="55">
      <x:c r="A55" s="10" t="str">
        <x:v>CUSTOMER_3016</x:v>
      </x:c>
      <x:c r="B55" s="17" t="n">
        <x:v>2286125.23</x:v>
      </x:c>
      <x:c r="C55" s="17" t="n">
        <x:v>496914.39</x:v>
      </x:c>
      <x:c r="D55" s="13" t="n">
        <x:v>21.7361</x:v>
      </x:c>
      <x:c r="E55" s="13" t="n">
        <x:v>0.315579</x:v>
      </x:c>
      <x:c r="F55" s="13" t="n">
        <x:v>18.769522</x:v>
      </x:c>
      <x:c r="G55" s="11" t="n">
        <x:v>40</x:v>
      </x:c>
    </x:row>
    <x:row r="56">
      <x:c r="A56" s="10" t="str">
        <x:v>CUSTOMER_0659</x:v>
      </x:c>
      <x:c r="B56" s="17" t="n">
        <x:v>2260487.84</x:v>
      </x:c>
      <x:c r="C56" s="17" t="n">
        <x:v>443865.5</x:v>
      </x:c>
      <x:c r="D56" s="13" t="n">
        <x:v>19.6358</x:v>
      </x:c>
      <x:c r="E56" s="13" t="n">
        <x:v>0.31204</x:v>
      </x:c>
      <x:c r="F56" s="13" t="n">
        <x:v>19.081562</x:v>
      </x:c>
      <x:c r="G56" s="11" t="n">
        <x:v>41</x:v>
      </x:c>
    </x:row>
    <x:row r="57">
      <x:c r="A57" s="10" t="str">
        <x:v>CUSTOMER_1665</x:v>
      </x:c>
      <x:c r="B57" s="17" t="n">
        <x:v>2254707.55</x:v>
      </x:c>
      <x:c r="C57" s="17" t="n">
        <x:v>492747.69</x:v>
      </x:c>
      <x:c r="D57" s="13" t="n">
        <x:v>21.8542</x:v>
      </x:c>
      <x:c r="E57" s="13" t="n">
        <x:v>0.311242</x:v>
      </x:c>
      <x:c r="F57" s="13" t="n">
        <x:v>19.392804</x:v>
      </x:c>
      <x:c r="G57" s="11" t="n">
        <x:v>42</x:v>
      </x:c>
    </x:row>
    <x:row r="58">
      <x:c r="A58" s="10" t="str">
        <x:v>CUSTOMER_3094</x:v>
      </x:c>
      <x:c r="B58" s="17" t="n">
        <x:v>2244359.81</x:v>
      </x:c>
      <x:c r="C58" s="17" t="n">
        <x:v>551314.94</x:v>
      </x:c>
      <x:c r="D58" s="13" t="n">
        <x:v>24.5645</x:v>
      </x:c>
      <x:c r="E58" s="13" t="n">
        <x:v>0.309813</x:v>
      </x:c>
      <x:c r="F58" s="13" t="n">
        <x:v>19.702617</x:v>
      </x:c>
      <x:c r="G58" s="11" t="n">
        <x:v>43</x:v>
      </x:c>
    </x:row>
    <x:row r="59">
      <x:c r="A59" s="10" t="str">
        <x:v>CUSTOMER_1664</x:v>
      </x:c>
      <x:c r="B59" s="17" t="n">
        <x:v>2208957.03</x:v>
      </x:c>
      <x:c r="C59" s="17" t="n">
        <x:v>510265.48</x:v>
      </x:c>
      <x:c r="D59" s="13" t="n">
        <x:v>23.0998</x:v>
      </x:c>
      <x:c r="E59" s="13" t="n">
        <x:v>0.304926</x:v>
      </x:c>
      <x:c r="F59" s="13" t="n">
        <x:v>20.007543</x:v>
      </x:c>
      <x:c r="G59" s="11" t="n">
        <x:v>44</x:v>
      </x:c>
    </x:row>
    <x:row r="60">
      <x:c r="A60" s="10" t="str">
        <x:v>CUSTOMER_0118</x:v>
      </x:c>
      <x:c r="B60" s="17" t="n">
        <x:v>2202546.31</x:v>
      </x:c>
      <x:c r="C60" s="17" t="n">
        <x:v>175378.48</x:v>
      </x:c>
      <x:c r="D60" s="13" t="n">
        <x:v>7.9625</x:v>
      </x:c>
      <x:c r="E60" s="13" t="n">
        <x:v>0.304041</x:v>
      </x:c>
      <x:c r="F60" s="13" t="n">
        <x:v>20.311585</x:v>
      </x:c>
      <x:c r="G60" s="11" t="n">
        <x:v>45</x:v>
      </x:c>
    </x:row>
    <x:row r="61">
      <x:c r="A61" s="10" t="str">
        <x:v>CUSTOMER_0121</x:v>
      </x:c>
      <x:c r="B61" s="17" t="n">
        <x:v>2144361.08</x:v>
      </x:c>
      <x:c r="C61" s="17" t="n">
        <x:v>439859.42</x:v>
      </x:c>
      <x:c r="D61" s="13" t="n">
        <x:v>20.5124</x:v>
      </x:c>
      <x:c r="E61" s="13" t="n">
        <x:v>0.296009</x:v>
      </x:c>
      <x:c r="F61" s="13" t="n">
        <x:v>20.607594</x:v>
      </x:c>
      <x:c r="G61" s="11" t="n">
        <x:v>46</x:v>
      </x:c>
    </x:row>
    <x:row r="62">
      <x:c r="A62" s="10" t="str">
        <x:v>CUSTOMER_1435</x:v>
      </x:c>
      <x:c r="B62" s="17" t="n">
        <x:v>2118557.92</x:v>
      </x:c>
      <x:c r="C62" s="17" t="n">
        <x:v>483920.15</x:v>
      </x:c>
      <x:c r="D62" s="13" t="n">
        <x:v>22.842</x:v>
      </x:c>
      <x:c r="E62" s="13" t="n">
        <x:v>0.292448</x:v>
      </x:c>
      <x:c r="F62" s="13" t="n">
        <x:v>20.900042</x:v>
      </x:c>
      <x:c r="G62" s="11" t="n">
        <x:v>47</x:v>
      </x:c>
    </x:row>
    <x:row r="63">
      <x:c r="A63" s="10" t="str">
        <x:v>CUSTOMER_2014</x:v>
      </x:c>
      <x:c r="B63" s="17" t="n">
        <x:v>2103528.72</x:v>
      </x:c>
      <x:c r="C63" s="17" t="n">
        <x:v>582423.62</x:v>
      </x:c>
      <x:c r="D63" s="13" t="n">
        <x:v>27.6879</x:v>
      </x:c>
      <x:c r="E63" s="13" t="n">
        <x:v>0.290373</x:v>
      </x:c>
      <x:c r="F63" s="13" t="n">
        <x:v>21.190415</x:v>
      </x:c>
      <x:c r="G63" s="11" t="n">
        <x:v>48</x:v>
      </x:c>
    </x:row>
    <x:row r="64">
      <x:c r="A64" s="10" t="str">
        <x:v>CUSTOMER_0666</x:v>
      </x:c>
      <x:c r="B64" s="17" t="n">
        <x:v>2093054.68</x:v>
      </x:c>
      <x:c r="C64" s="17" t="n">
        <x:v>426216.68</x:v>
      </x:c>
      <x:c r="D64" s="13" t="n">
        <x:v>20.3634</x:v>
      </x:c>
      <x:c r="E64" s="13" t="n">
        <x:v>0.288927</x:v>
      </x:c>
      <x:c r="F64" s="13" t="n">
        <x:v>21.479342</x:v>
      </x:c>
      <x:c r="G64" s="11" t="n">
        <x:v>49</x:v>
      </x:c>
    </x:row>
    <x:row r="65">
      <x:c r="A65" s="10" t="str">
        <x:v>CUSTOMER_0669</x:v>
      </x:c>
      <x:c r="B65" s="17" t="n">
        <x:v>2088274.57</x:v>
      </x:c>
      <x:c r="C65" s="17" t="n">
        <x:v>400286.2</x:v>
      </x:c>
      <x:c r="D65" s="13" t="n">
        <x:v>19.1683</x:v>
      </x:c>
      <x:c r="E65" s="13" t="n">
        <x:v>0.288267</x:v>
      </x:c>
      <x:c r="F65" s="13" t="n">
        <x:v>21.767609</x:v>
      </x:c>
      <x:c r="G65" s="11" t="n">
        <x:v>50</x:v>
      </x:c>
    </x:row>
    <x:row r="66">
      <x:c r="A66" s="10" t="str">
        <x:v>CUSTOMER_0656</x:v>
      </x:c>
      <x:c r="B66" s="17" t="n">
        <x:v>2075472.06</x:v>
      </x:c>
      <x:c r="C66" s="17" t="n">
        <x:v>415430.76</x:v>
      </x:c>
      <x:c r="D66" s="13" t="n">
        <x:v>20.0162</x:v>
      </x:c>
      <x:c r="E66" s="13" t="n">
        <x:v>0.2865</x:v>
      </x:c>
      <x:c r="F66" s="13" t="n">
        <x:v>22.054109</x:v>
      </x:c>
      <x:c r="G66" s="11" t="n">
        <x:v>51</x:v>
      </x:c>
    </x:row>
    <x:row r="67">
      <x:c r="A67" s="10" t="str">
        <x:v>CUSTOMER_2158</x:v>
      </x:c>
      <x:c r="B67" s="17" t="n">
        <x:v>2063167.35</x:v>
      </x:c>
      <x:c r="C67" s="17" t="n">
        <x:v>413002.86</x:v>
      </x:c>
      <x:c r="D67" s="13" t="n">
        <x:v>20.0179</x:v>
      </x:c>
      <x:c r="E67" s="13" t="n">
        <x:v>0.284801</x:v>
      </x:c>
      <x:c r="F67" s="13" t="n">
        <x:v>22.33891</x:v>
      </x:c>
      <x:c r="G67" s="11" t="n">
        <x:v>52</x:v>
      </x:c>
    </x:row>
    <x:row r="68">
      <x:c r="A68" s="10" t="str">
        <x:v>CUSTOMER_1317</x:v>
      </x:c>
      <x:c r="B68" s="17" t="n">
        <x:v>2061966.55</x:v>
      </x:c>
      <x:c r="C68" s="17" t="n">
        <x:v>471237.65</x:v>
      </x:c>
      <x:c r="D68" s="13" t="n">
        <x:v>22.8538</x:v>
      </x:c>
      <x:c r="E68" s="13" t="n">
        <x:v>0.284636</x:v>
      </x:c>
      <x:c r="F68" s="13" t="n">
        <x:v>22.623546</x:v>
      </x:c>
      <x:c r="G68" s="11" t="n">
        <x:v>53</x:v>
      </x:c>
    </x:row>
    <x:row r="69">
      <x:c r="A69" s="10" t="str">
        <x:v>CUSTOMER_2305</x:v>
      </x:c>
      <x:c r="B69" s="17" t="n">
        <x:v>1996753.99</x:v>
      </x:c>
      <x:c r="C69" s="17" t="n">
        <x:v>397434.15</x:v>
      </x:c>
      <x:c r="D69" s="13" t="n">
        <x:v>19.904</x:v>
      </x:c>
      <x:c r="E69" s="13" t="n">
        <x:v>0.275634</x:v>
      </x:c>
      <x:c r="F69" s="13" t="n">
        <x:v>22.899179</x:v>
      </x:c>
      <x:c r="G69" s="11" t="n">
        <x:v>54</x:v>
      </x:c>
    </x:row>
    <x:row r="70">
      <x:c r="A70" s="10" t="str">
        <x:v>CUSTOMER_1632</x:v>
      </x:c>
      <x:c r="B70" s="17" t="n">
        <x:v>1994562.77</x:v>
      </x:c>
      <x:c r="C70" s="17" t="n">
        <x:v>381456.48</x:v>
      </x:c>
      <x:c r="D70" s="13" t="n">
        <x:v>19.1248</x:v>
      </x:c>
      <x:c r="E70" s="13" t="n">
        <x:v>0.275331</x:v>
      </x:c>
      <x:c r="F70" s="13" t="n">
        <x:v>23.17451</x:v>
      </x:c>
      <x:c r="G70" s="11" t="n">
        <x:v>55</x:v>
      </x:c>
    </x:row>
    <x:row r="71">
      <x:c r="A71" s="10" t="str">
        <x:v>CUSTOMER_1539</x:v>
      </x:c>
      <x:c r="B71" s="17" t="n">
        <x:v>1971293.9</x:v>
      </x:c>
      <x:c r="C71" s="17" t="n">
        <x:v>554689.56</x:v>
      </x:c>
      <x:c r="D71" s="13" t="n">
        <x:v>28.1383</x:v>
      </x:c>
      <x:c r="E71" s="13" t="n">
        <x:v>0.272119</x:v>
      </x:c>
      <x:c r="F71" s="13" t="n">
        <x:v>23.446629</x:v>
      </x:c>
      <x:c r="G71" s="11" t="n">
        <x:v>56</x:v>
      </x:c>
    </x:row>
    <x:row r="72">
      <x:c r="A72" s="10" t="str">
        <x:v>CUSTOMER_0458</x:v>
      </x:c>
      <x:c r="B72" s="17" t="n">
        <x:v>1958215.01</x:v>
      </x:c>
      <x:c r="C72" s="17" t="n">
        <x:v>511182.92</x:v>
      </x:c>
      <x:c r="D72" s="13" t="n">
        <x:v>26.1045</x:v>
      </x:c>
      <x:c r="E72" s="13" t="n">
        <x:v>0.270314</x:v>
      </x:c>
      <x:c r="F72" s="13" t="n">
        <x:v>23.716943</x:v>
      </x:c>
      <x:c r="G72" s="11" t="n">
        <x:v>57</x:v>
      </x:c>
    </x:row>
    <x:row r="73">
      <x:c r="A73" s="10" t="str">
        <x:v>CUSTOMER_2899</x:v>
      </x:c>
      <x:c r="B73" s="17" t="n">
        <x:v>1935033.28</x:v>
      </x:c>
      <x:c r="C73" s="17" t="n">
        <x:v>453281.48</x:v>
      </x:c>
      <x:c r="D73" s="13" t="n">
        <x:v>23.425</x:v>
      </x:c>
      <x:c r="E73" s="13" t="n">
        <x:v>0.267114</x:v>
      </x:c>
      <x:c r="F73" s="13" t="n">
        <x:v>23.984057</x:v>
      </x:c>
      <x:c r="G73" s="11" t="n">
        <x:v>58</x:v>
      </x:c>
    </x:row>
    <x:row r="74">
      <x:c r="A74" s="10" t="str">
        <x:v>CUSTOMER_1490</x:v>
      </x:c>
      <x:c r="B74" s="17" t="n">
        <x:v>1921479.48</x:v>
      </x:c>
      <x:c r="C74" s="17" t="n">
        <x:v>361924.56</x:v>
      </x:c>
      <x:c r="D74" s="13" t="n">
        <x:v>18.8357</x:v>
      </x:c>
      <x:c r="E74" s="13" t="n">
        <x:v>0.265243</x:v>
      </x:c>
      <x:c r="F74" s="13" t="n">
        <x:v>24.249299</x:v>
      </x:c>
      <x:c r="G74" s="11" t="n">
        <x:v>59</x:v>
      </x:c>
    </x:row>
    <x:row r="75">
      <x:c r="A75" s="10" t="str">
        <x:v>CUSTOMER_1270</x:v>
      </x:c>
      <x:c r="B75" s="17" t="n">
        <x:v>1874795.92</x:v>
      </x:c>
      <x:c r="C75" s="17" t="n">
        <x:v>413142.83</x:v>
      </x:c>
      <x:c r="D75" s="13" t="n">
        <x:v>22.0367</x:v>
      </x:c>
      <x:c r="E75" s="13" t="n">
        <x:v>0.258798</x:v>
      </x:c>
      <x:c r="F75" s="13" t="n">
        <x:v>24.508098</x:v>
      </x:c>
      <x:c r="G75" s="11" t="n">
        <x:v>60</x:v>
      </x:c>
    </x:row>
    <x:row r="76">
      <x:c r="A76" s="10" t="str">
        <x:v>CUSTOMER_0661</x:v>
      </x:c>
      <x:c r="B76" s="17" t="n">
        <x:v>1860924.81</x:v>
      </x:c>
      <x:c r="C76" s="17" t="n">
        <x:v>378169.61</x:v>
      </x:c>
      <x:c r="D76" s="13" t="n">
        <x:v>20.3216</x:v>
      </x:c>
      <x:c r="E76" s="13" t="n">
        <x:v>0.256884</x:v>
      </x:c>
      <x:c r="F76" s="13" t="n">
        <x:v>24.764981</x:v>
      </x:c>
      <x:c r="G76" s="11" t="n">
        <x:v>61</x:v>
      </x:c>
    </x:row>
    <x:row r="77">
      <x:c r="A77" s="10" t="str">
        <x:v>CUSTOMER_0123</x:v>
      </x:c>
      <x:c r="B77" s="17" t="n">
        <x:v>1839334.67</x:v>
      </x:c>
      <x:c r="C77" s="17" t="n">
        <x:v>393588.49</x:v>
      </x:c>
      <x:c r="D77" s="13" t="n">
        <x:v>21.3984</x:v>
      </x:c>
      <x:c r="E77" s="13" t="n">
        <x:v>0.253903</x:v>
      </x:c>
      <x:c r="F77" s="13" t="n">
        <x:v>25.018885</x:v>
      </x:c>
      <x:c r="G77" s="11" t="n">
        <x:v>62</x:v>
      </x:c>
    </x:row>
    <x:row r="78">
      <x:c r="A78" s="10" t="str">
        <x:v>CUSTOMER_0146</x:v>
      </x:c>
      <x:c r="B78" s="17" t="n">
        <x:v>1833616.33</x:v>
      </x:c>
      <x:c r="C78" s="17" t="n">
        <x:v>441369.58</x:v>
      </x:c>
      <x:c r="D78" s="13" t="n">
        <x:v>24.071</x:v>
      </x:c>
      <x:c r="E78" s="13" t="n">
        <x:v>0.253114</x:v>
      </x:c>
      <x:c r="F78" s="13" t="n">
        <x:v>25.271999</x:v>
      </x:c>
      <x:c r="G78" s="11" t="n">
        <x:v>63</x:v>
      </x:c>
    </x:row>
    <x:row r="79">
      <x:c r="A79" s="10" t="str">
        <x:v>CUSTOMER_1548</x:v>
      </x:c>
      <x:c r="B79" s="17" t="n">
        <x:v>1832761.96</x:v>
      </x:c>
      <x:c r="C79" s="17" t="n">
        <x:v>300385.3</x:v>
      </x:c>
      <x:c r="D79" s="13" t="n">
        <x:v>16.3898</x:v>
      </x:c>
      <x:c r="E79" s="13" t="n">
        <x:v>0.252996</x:v>
      </x:c>
      <x:c r="F79" s="13" t="n">
        <x:v>25.524995</x:v>
      </x:c>
      <x:c r="G79" s="11" t="n">
        <x:v>64</x:v>
      </x:c>
    </x:row>
    <x:row r="80">
      <x:c r="A80" s="10" t="str">
        <x:v>CUSTOMER_2391</x:v>
      </x:c>
      <x:c r="B80" s="17" t="n">
        <x:v>1827021</x:v>
      </x:c>
      <x:c r="C80" s="17" t="n">
        <x:v>392299.94</x:v>
      </x:c>
      <x:c r="D80" s="13" t="n">
        <x:v>21.4721</x:v>
      </x:c>
      <x:c r="E80" s="13" t="n">
        <x:v>0.252204</x:v>
      </x:c>
      <x:c r="F80" s="13" t="n">
        <x:v>25.777198</x:v>
      </x:c>
      <x:c r="G80" s="11" t="n">
        <x:v>65</x:v>
      </x:c>
    </x:row>
    <x:row r="81">
      <x:c r="A81" s="10" t="str">
        <x:v>CUSTOMER_0466</x:v>
      </x:c>
      <x:c r="B81" s="17" t="n">
        <x:v>1805068.87</x:v>
      </x:c>
      <x:c r="C81" s="17" t="n">
        <x:v>449047.02</x:v>
      </x:c>
      <x:c r="D81" s="13" t="n">
        <x:v>24.877</x:v>
      </x:c>
      <x:c r="E81" s="13" t="n">
        <x:v>0.249173</x:v>
      </x:c>
      <x:c r="F81" s="13" t="n">
        <x:v>26.026371</x:v>
      </x:c>
      <x:c r="G81" s="11" t="n">
        <x:v>66</x:v>
      </x:c>
    </x:row>
    <x:row r="82">
      <x:c r="A82" s="10" t="str">
        <x:v>CUSTOMER_2274</x:v>
      </x:c>
      <x:c r="B82" s="17" t="n">
        <x:v>1778060.7</x:v>
      </x:c>
      <x:c r="C82" s="17" t="n">
        <x:v>357141.14</x:v>
      </x:c>
      <x:c r="D82" s="13" t="n">
        <x:v>20.086</x:v>
      </x:c>
      <x:c r="E82" s="13" t="n">
        <x:v>0.245445</x:v>
      </x:c>
      <x:c r="F82" s="13" t="n">
        <x:v>26.271816</x:v>
      </x:c>
      <x:c r="G82" s="11" t="n">
        <x:v>67</x:v>
      </x:c>
    </x:row>
    <x:row r="83">
      <x:c r="A83" s="10" t="str">
        <x:v>CUSTOMER_3171</x:v>
      </x:c>
      <x:c r="B83" s="17" t="n">
        <x:v>1767478.82</x:v>
      </x:c>
      <x:c r="C83" s="17" t="n">
        <x:v>390810.79</x:v>
      </x:c>
      <x:c r="D83" s="13" t="n">
        <x:v>22.1112</x:v>
      </x:c>
      <x:c r="E83" s="13" t="n">
        <x:v>0.243984</x:v>
      </x:c>
      <x:c r="F83" s="13" t="n">
        <x:v>26.515801</x:v>
      </x:c>
      <x:c r="G83" s="11" t="n">
        <x:v>68</x:v>
      </x:c>
    </x:row>
    <x:row r="84">
      <x:c r="A84" s="10" t="str">
        <x:v>CUSTOMER_3164</x:v>
      </x:c>
      <x:c r="B84" s="17" t="n">
        <x:v>1759273.09</x:v>
      </x:c>
      <x:c r="C84" s="17" t="n">
        <x:v>334734.24</x:v>
      </x:c>
      <x:c r="D84" s="13" t="n">
        <x:v>19.0268</x:v>
      </x:c>
      <x:c r="E84" s="13" t="n">
        <x:v>0.242852</x:v>
      </x:c>
      <x:c r="F84" s="13" t="n">
        <x:v>26.758652</x:v>
      </x:c>
      <x:c r="G84" s="11" t="n">
        <x:v>69</x:v>
      </x:c>
    </x:row>
    <x:row r="85">
      <x:c r="A85" s="10" t="str">
        <x:v>CUSTOMER_1416</x:v>
      </x:c>
      <x:c r="B85" s="17" t="n">
        <x:v>1755638.5</x:v>
      </x:c>
      <x:c r="C85" s="17" t="n">
        <x:v>359747.87</x:v>
      </x:c>
      <x:c r="D85" s="13" t="n">
        <x:v>20.491</x:v>
      </x:c>
      <x:c r="E85" s="13" t="n">
        <x:v>0.24235</x:v>
      </x:c>
      <x:c r="F85" s="13" t="n">
        <x:v>27.001002</x:v>
      </x:c>
      <x:c r="G85" s="11" t="n">
        <x:v>70</x:v>
      </x:c>
    </x:row>
    <x:row r="86">
      <x:c r="A86" s="10" t="str">
        <x:v>CUSTOMER_1948</x:v>
      </x:c>
      <x:c r="B86" s="17" t="n">
        <x:v>1742345.14</x:v>
      </x:c>
      <x:c r="C86" s="17" t="n">
        <x:v>392923.66</x:v>
      </x:c>
      <x:c r="D86" s="13" t="n">
        <x:v>22.5514</x:v>
      </x:c>
      <x:c r="E86" s="13" t="n">
        <x:v>0.240515</x:v>
      </x:c>
      <x:c r="F86" s="13" t="n">
        <x:v>27.241517</x:v>
      </x:c>
      <x:c r="G86" s="11" t="n">
        <x:v>71</x:v>
      </x:c>
    </x:row>
    <x:row r="87">
      <x:c r="A87" s="10" t="str">
        <x:v>CUSTOMER_2074</x:v>
      </x:c>
      <x:c r="B87" s="17" t="n">
        <x:v>1726785.51</x:v>
      </x:c>
      <x:c r="C87" s="17" t="n">
        <x:v>371887.53</x:v>
      </x:c>
      <x:c r="D87" s="13" t="n">
        <x:v>21.5364</x:v>
      </x:c>
      <x:c r="E87" s="13" t="n">
        <x:v>0.238367</x:v>
      </x:c>
      <x:c r="F87" s="13" t="n">
        <x:v>27.479884</x:v>
      </x:c>
      <x:c r="G87" s="11" t="n">
        <x:v>72</x:v>
      </x:c>
    </x:row>
    <x:row r="88">
      <x:c r="A88" s="10" t="str">
        <x:v>CUSTOMER_2020</x:v>
      </x:c>
      <x:c r="B88" s="17" t="n">
        <x:v>1694286.08</x:v>
      </x:c>
      <x:c r="C88" s="17" t="n">
        <x:v>359464.74</x:v>
      </x:c>
      <x:c r="D88" s="13" t="n">
        <x:v>21.2163</x:v>
      </x:c>
      <x:c r="E88" s="13" t="n">
        <x:v>0.233881</x:v>
      </x:c>
      <x:c r="F88" s="13" t="n">
        <x:v>27.713764</x:v>
      </x:c>
      <x:c r="G88" s="11" t="n">
        <x:v>73</x:v>
      </x:c>
    </x:row>
    <x:row r="89">
      <x:c r="A89" s="10" t="str">
        <x:v>CUSTOMER_1836</x:v>
      </x:c>
      <x:c r="B89" s="17" t="n">
        <x:v>1655158.22</x:v>
      </x:c>
      <x:c r="C89" s="17" t="n">
        <x:v>306436.34</x:v>
      </x:c>
      <x:c r="D89" s="13" t="n">
        <x:v>18.514</x:v>
      </x:c>
      <x:c r="E89" s="13" t="n">
        <x:v>0.228479</x:v>
      </x:c>
      <x:c r="F89" s="13" t="n">
        <x:v>27.942244</x:v>
      </x:c>
      <x:c r="G89" s="11" t="n">
        <x:v>74</x:v>
      </x:c>
    </x:row>
    <x:row r="90">
      <x:c r="A90" s="10" t="str">
        <x:v>CUSTOMER_3142</x:v>
      </x:c>
      <x:c r="B90" s="17" t="n">
        <x:v>1649166.52</x:v>
      </x:c>
      <x:c r="C90" s="17" t="n">
        <x:v>316187.86</x:v>
      </x:c>
      <x:c r="D90" s="13" t="n">
        <x:v>19.1726</x:v>
      </x:c>
      <x:c r="E90" s="13" t="n">
        <x:v>0.227652</x:v>
      </x:c>
      <x:c r="F90" s="13" t="n">
        <x:v>28.169896</x:v>
      </x:c>
      <x:c r="G90" s="11" t="n">
        <x:v>75</x:v>
      </x:c>
    </x:row>
    <x:row r="91">
      <x:c r="A91" s="10" t="str">
        <x:v>CUSTOMER_2277</x:v>
      </x:c>
      <x:c r="B91" s="17" t="n">
        <x:v>1638566.66</x:v>
      </x:c>
      <x:c r="C91" s="17" t="n">
        <x:v>332007.28</x:v>
      </x:c>
      <x:c r="D91" s="13" t="n">
        <x:v>20.2621</x:v>
      </x:c>
      <x:c r="E91" s="13" t="n">
        <x:v>0.226189</x:v>
      </x:c>
      <x:c r="F91" s="13" t="n">
        <x:v>28.396085</x:v>
      </x:c>
      <x:c r="G91" s="11" t="n">
        <x:v>76</x:v>
      </x:c>
    </x:row>
    <x:row r="92">
      <x:c r="A92" s="10" t="str">
        <x:v>CUSTOMER_2178</x:v>
      </x:c>
      <x:c r="B92" s="17" t="n">
        <x:v>1602069.53</x:v>
      </x:c>
      <x:c r="C92" s="17" t="n">
        <x:v>268045.85</x:v>
      </x:c>
      <x:c r="D92" s="13" t="n">
        <x:v>16.7312</x:v>
      </x:c>
      <x:c r="E92" s="13" t="n">
        <x:v>0.221151</x:v>
      </x:c>
      <x:c r="F92" s="13" t="n">
        <x:v>28.617236</x:v>
      </x:c>
      <x:c r="G92" s="11" t="n">
        <x:v>77</x:v>
      </x:c>
    </x:row>
    <x:row r="93">
      <x:c r="A93" s="10" t="str">
        <x:v>CUSTOMER_2292</x:v>
      </x:c>
      <x:c r="B93" s="17" t="n">
        <x:v>1601089.18</x:v>
      </x:c>
      <x:c r="C93" s="17" t="n">
        <x:v>367146.64</x:v>
      </x:c>
      <x:c r="D93" s="13" t="n">
        <x:v>22.9311</x:v>
      </x:c>
      <x:c r="E93" s="13" t="n">
        <x:v>0.221016</x:v>
      </x:c>
      <x:c r="F93" s="13" t="n">
        <x:v>28.838252</x:v>
      </x:c>
      <x:c r="G93" s="11" t="n">
        <x:v>78</x:v>
      </x:c>
    </x:row>
    <x:row r="94">
      <x:c r="A94" s="10" t="str">
        <x:v>CUSTOMER_1412</x:v>
      </x:c>
      <x:c r="B94" s="17" t="n">
        <x:v>1591897.61</x:v>
      </x:c>
      <x:c r="C94" s="17" t="n">
        <x:v>397448.7</x:v>
      </x:c>
      <x:c r="D94" s="13" t="n">
        <x:v>24.967</x:v>
      </x:c>
      <x:c r="E94" s="13" t="n">
        <x:v>0.219747</x:v>
      </x:c>
      <x:c r="F94" s="13" t="n">
        <x:v>29.057999</x:v>
      </x:c>
      <x:c r="G94" s="11" t="n">
        <x:v>79</x:v>
      </x:c>
    </x:row>
    <x:row r="95">
      <x:c r="A95" s="10" t="str">
        <x:v>CUSTOMER_0574</x:v>
      </x:c>
      <x:c r="B95" s="17" t="n">
        <x:v>1588608.58</x:v>
      </x:c>
      <x:c r="C95" s="17" t="n">
        <x:v>340531.06</x:v>
      </x:c>
      <x:c r="D95" s="13" t="n">
        <x:v>21.4358</x:v>
      </x:c>
      <x:c r="E95" s="13" t="n">
        <x:v>0.219293</x:v>
      </x:c>
      <x:c r="F95" s="13" t="n">
        <x:v>29.277292</x:v>
      </x:c>
      <x:c r="G95" s="11" t="n">
        <x:v>80</x:v>
      </x:c>
    </x:row>
    <x:row r="96">
      <x:c r="A96" s="10" t="str">
        <x:v>CUSTOMER_2346</x:v>
      </x:c>
      <x:c r="B96" s="17" t="n">
        <x:v>1587686.09</x:v>
      </x:c>
      <x:c r="C96" s="17" t="n">
        <x:v>328134.25</x:v>
      </x:c>
      <x:c r="D96" s="13" t="n">
        <x:v>20.6675</x:v>
      </x:c>
      <x:c r="E96" s="13" t="n">
        <x:v>0.219166</x:v>
      </x:c>
      <x:c r="F96" s="13" t="n">
        <x:v>29.496457</x:v>
      </x:c>
      <x:c r="G96" s="11" t="n">
        <x:v>81</x:v>
      </x:c>
    </x:row>
    <x:row r="97">
      <x:c r="A97" s="10" t="str">
        <x:v>CUSTOMER_0280</x:v>
      </x:c>
      <x:c r="B97" s="17" t="n">
        <x:v>1574927.65</x:v>
      </x:c>
      <x:c r="C97" s="17" t="n">
        <x:v>323790.99</x:v>
      </x:c>
      <x:c r="D97" s="13" t="n">
        <x:v>20.5591</x:v>
      </x:c>
      <x:c r="E97" s="13" t="n">
        <x:v>0.217404</x:v>
      </x:c>
      <x:c r="F97" s="13" t="n">
        <x:v>29.713862</x:v>
      </x:c>
      <x:c r="G97" s="11" t="n">
        <x:v>82</x:v>
      </x:c>
    </x:row>
    <x:row r="98">
      <x:c r="A98" s="10" t="str">
        <x:v>CUSTOMER_0503</x:v>
      </x:c>
      <x:c r="B98" s="17" t="n">
        <x:v>1573112.42</x:v>
      </x:c>
      <x:c r="C98" s="17" t="n">
        <x:v>354388.27</x:v>
      </x:c>
      <x:c r="D98" s="13" t="n">
        <x:v>22.5278</x:v>
      </x:c>
      <x:c r="E98" s="13" t="n">
        <x:v>0.217154</x:v>
      </x:c>
      <x:c r="F98" s="13" t="n">
        <x:v>29.931015</x:v>
      </x:c>
      <x:c r="G98" s="11" t="n">
        <x:v>83</x:v>
      </x:c>
    </x:row>
    <x:row r="99">
      <x:c r="A99" s="10" t="str">
        <x:v>CUSTOMER_0171</x:v>
      </x:c>
      <x:c r="B99" s="17" t="n">
        <x:v>1557256.28</x:v>
      </x:c>
      <x:c r="C99" s="17" t="n">
        <x:v>375192.85</x:v>
      </x:c>
      <x:c r="D99" s="13" t="n">
        <x:v>24.0932</x:v>
      </x:c>
      <x:c r="E99" s="13" t="n">
        <x:v>0.214965</x:v>
      </x:c>
      <x:c r="F99" s="13" t="n">
        <x:v>30.14598</x:v>
      </x:c>
      <x:c r="G99" s="11" t="n">
        <x:v>84</x:v>
      </x:c>
    </x:row>
    <x:row r="100">
      <x:c r="A100" s="10" t="str">
        <x:v>CUSTOMER_2066</x:v>
      </x:c>
      <x:c r="B100" s="17" t="n">
        <x:v>1534541.1</x:v>
      </x:c>
      <x:c r="C100" s="17" t="n">
        <x:v>428096.94</x:v>
      </x:c>
      <x:c r="D100" s="13" t="n">
        <x:v>27.8974</x:v>
      </x:c>
      <x:c r="E100" s="13" t="n">
        <x:v>0.211829</x:v>
      </x:c>
      <x:c r="F100" s="13" t="n">
        <x:v>30.35781</x:v>
      </x:c>
      <x:c r="G100" s="11" t="n">
        <x:v>85</x:v>
      </x:c>
    </x:row>
    <x:row r="101">
      <x:c r="A101" s="10" t="str">
        <x:v>CUSTOMER_1794</x:v>
      </x:c>
      <x:c r="B101" s="17" t="n">
        <x:v>1528660.65</x:v>
      </x:c>
      <x:c r="C101" s="17" t="n">
        <x:v>292370.38</x:v>
      </x:c>
      <x:c r="D101" s="13" t="n">
        <x:v>19.1259</x:v>
      </x:c>
      <x:c r="E101" s="13" t="n">
        <x:v>0.211018</x:v>
      </x:c>
      <x:c r="F101" s="13" t="n">
        <x:v>30.568827</x:v>
      </x:c>
      <x:c r="G101" s="11" t="n">
        <x:v>86</x:v>
      </x:c>
    </x:row>
    <x:row r="102">
      <x:c r="A102" s="10" t="str">
        <x:v>CUSTOMER_1728</x:v>
      </x:c>
      <x:c r="B102" s="17" t="n">
        <x:v>1526082.85</x:v>
      </x:c>
      <x:c r="C102" s="17" t="n">
        <x:v>357632.22</x:v>
      </x:c>
      <x:c r="D102" s="13" t="n">
        <x:v>23.4347</x:v>
      </x:c>
      <x:c r="E102" s="13" t="n">
        <x:v>0.210662</x:v>
      </x:c>
      <x:c r="F102" s="13" t="n">
        <x:v>30.779489</x:v>
      </x:c>
      <x:c r="G102" s="11" t="n">
        <x:v>87</x:v>
      </x:c>
    </x:row>
    <x:row r="103">
      <x:c r="A103" s="10" t="str">
        <x:v>CUSTOMER_0504</x:v>
      </x:c>
      <x:c r="B103" s="17" t="n">
        <x:v>1523790.96</x:v>
      </x:c>
      <x:c r="C103" s="17" t="n">
        <x:v>396147.52</x:v>
      </x:c>
      <x:c r="D103" s="13" t="n">
        <x:v>25.9975</x:v>
      </x:c>
      <x:c r="E103" s="13" t="n">
        <x:v>0.210345</x:v>
      </x:c>
      <x:c r="F103" s="13" t="n">
        <x:v>30.989834</x:v>
      </x:c>
      <x:c r="G103" s="11" t="n">
        <x:v>88</x:v>
      </x:c>
    </x:row>
    <x:row r="104">
      <x:c r="A104" s="10" t="str">
        <x:v>CUSTOMER_1426</x:v>
      </x:c>
      <x:c r="B104" s="17" t="n">
        <x:v>1511996.46</x:v>
      </x:c>
      <x:c r="C104" s="17" t="n">
        <x:v>348501.04</x:v>
      </x:c>
      <x:c r="D104" s="13" t="n">
        <x:v>23.0491</x:v>
      </x:c>
      <x:c r="E104" s="13" t="n">
        <x:v>0.208717</x:v>
      </x:c>
      <x:c r="F104" s="13" t="n">
        <x:v>31.198552</x:v>
      </x:c>
      <x:c r="G104" s="11" t="n">
        <x:v>89</x:v>
      </x:c>
    </x:row>
    <x:row r="105">
      <x:c r="A105" s="10" t="str">
        <x:v>CUSTOMER_2005</x:v>
      </x:c>
      <x:c r="B105" s="17" t="n">
        <x:v>1502692.88</x:v>
      </x:c>
      <x:c r="C105" s="17" t="n">
        <x:v>333486.32</x:v>
      </x:c>
      <x:c r="D105" s="13" t="n">
        <x:v>22.1926</x:v>
      </x:c>
      <x:c r="E105" s="13" t="n">
        <x:v>0.207433</x:v>
      </x:c>
      <x:c r="F105" s="13" t="n">
        <x:v>31.405985</x:v>
      </x:c>
      <x:c r="G105" s="11" t="n">
        <x:v>90</x:v>
      </x:c>
    </x:row>
    <x:row r="106">
      <x:c r="A106" s="10" t="str">
        <x:v>CUSTOMER_1669</x:v>
      </x:c>
      <x:c r="B106" s="17" t="n">
        <x:v>1482916.84</x:v>
      </x:c>
      <x:c r="C106" s="17" t="n">
        <x:v>346347.52</x:v>
      </x:c>
      <x:c r="D106" s="13" t="n">
        <x:v>23.3558</x:v>
      </x:c>
      <x:c r="E106" s="13" t="n">
        <x:v>0.204703</x:v>
      </x:c>
      <x:c r="F106" s="13" t="n">
        <x:v>31.610688</x:v>
      </x:c>
      <x:c r="G106" s="11" t="n">
        <x:v>91</x:v>
      </x:c>
    </x:row>
    <x:row r="107">
      <x:c r="A107" s="10" t="str">
        <x:v>CUSTOMER_1418</x:v>
      </x:c>
      <x:c r="B107" s="17" t="n">
        <x:v>1482870.05</x:v>
      </x:c>
      <x:c r="C107" s="17" t="n">
        <x:v>338554</x:v>
      </x:c>
      <x:c r="D107" s="13" t="n">
        <x:v>22.831</x:v>
      </x:c>
      <x:c r="E107" s="13" t="n">
        <x:v>0.204697</x:v>
      </x:c>
      <x:c r="F107" s="13" t="n">
        <x:v>31.815384</x:v>
      </x:c>
      <x:c r="G107" s="11" t="n">
        <x:v>92</x:v>
      </x:c>
    </x:row>
    <x:row r="108">
      <x:c r="A108" s="10" t="str">
        <x:v>CUSTOMER_0753</x:v>
      </x:c>
      <x:c r="B108" s="17" t="n">
        <x:v>1465979.61</x:v>
      </x:c>
      <x:c r="C108" s="17" t="n">
        <x:v>368205.64</x:v>
      </x:c>
      <x:c r="D108" s="13" t="n">
        <x:v>25.1167</x:v>
      </x:c>
      <x:c r="E108" s="13" t="n">
        <x:v>0.202365</x:v>
      </x:c>
      <x:c r="F108" s="13" t="n">
        <x:v>32.017749</x:v>
      </x:c>
      <x:c r="G108" s="11" t="n">
        <x:v>93</x:v>
      </x:c>
    </x:row>
    <x:row r="109">
      <x:c r="A109" s="10" t="str">
        <x:v>CUSTOMER_3110</x:v>
      </x:c>
      <x:c r="B109" s="17" t="n">
        <x:v>1464997.34</x:v>
      </x:c>
      <x:c r="C109" s="17" t="n">
        <x:v>199069.23</x:v>
      </x:c>
      <x:c r="D109" s="13" t="n">
        <x:v>13.5884</x:v>
      </x:c>
      <x:c r="E109" s="13" t="n">
        <x:v>0.202229</x:v>
      </x:c>
      <x:c r="F109" s="13" t="n">
        <x:v>32.219979</x:v>
      </x:c>
      <x:c r="G109" s="11" t="n">
        <x:v>94</x:v>
      </x:c>
    </x:row>
    <x:row r="110">
      <x:c r="A110" s="10" t="str">
        <x:v>CUSTOMER_0491</x:v>
      </x:c>
      <x:c r="B110" s="17" t="n">
        <x:v>1460173.34</x:v>
      </x:c>
      <x:c r="C110" s="17" t="n">
        <x:v>208660.23</x:v>
      </x:c>
      <x:c r="D110" s="13" t="n">
        <x:v>14.2901</x:v>
      </x:c>
      <x:c r="E110" s="13" t="n">
        <x:v>0.201564</x:v>
      </x:c>
      <x:c r="F110" s="13" t="n">
        <x:v>32.421542</x:v>
      </x:c>
      <x:c r="G110" s="11" t="n">
        <x:v>95</x:v>
      </x:c>
    </x:row>
    <x:row r="111">
      <x:c r="A111" s="10" t="str">
        <x:v>CUSTOMER_1666</x:v>
      </x:c>
      <x:c r="B111" s="17" t="n">
        <x:v>1455370.53</x:v>
      </x:c>
      <x:c r="C111" s="17" t="n">
        <x:v>326982.06</x:v>
      </x:c>
      <x:c r="D111" s="13" t="n">
        <x:v>22.4673</x:v>
      </x:c>
      <x:c r="E111" s="13" t="n">
        <x:v>0.200901</x:v>
      </x:c>
      <x:c r="F111" s="13" t="n">
        <x:v>32.622443</x:v>
      </x:c>
      <x:c r="G111" s="11" t="n">
        <x:v>96</x:v>
      </x:c>
    </x:row>
    <x:row r="112">
      <x:c r="A112" s="10" t="str">
        <x:v>CUSTOMER_1417</x:v>
      </x:c>
      <x:c r="B112" s="17" t="n">
        <x:v>1434633.88</x:v>
      </x:c>
      <x:c r="C112" s="17" t="n">
        <x:v>344019</x:v>
      </x:c>
      <x:c r="D112" s="13" t="n">
        <x:v>23.9796</x:v>
      </x:c>
      <x:c r="E112" s="13" t="n">
        <x:v>0.198038</x:v>
      </x:c>
      <x:c r="F112" s="13" t="n">
        <x:v>32.820481</x:v>
      </x:c>
      <x:c r="G112" s="11" t="n">
        <x:v>97</x:v>
      </x:c>
    </x:row>
    <x:row r="113">
      <x:c r="A113" s="10" t="str">
        <x:v>CUSTOMER_3124</x:v>
      </x:c>
      <x:c r="B113" s="17" t="n">
        <x:v>1424037.31</x:v>
      </x:c>
      <x:c r="C113" s="17" t="n">
        <x:v>213088.44</x:v>
      </x:c>
      <x:c r="D113" s="13" t="n">
        <x:v>14.9637</x:v>
      </x:c>
      <x:c r="E113" s="13" t="n">
        <x:v>0.196575</x:v>
      </x:c>
      <x:c r="F113" s="13" t="n">
        <x:v>33.017056</x:v>
      </x:c>
      <x:c r="G113" s="11" t="n">
        <x:v>98</x:v>
      </x:c>
    </x:row>
    <x:row r="114">
      <x:c r="A114" s="10" t="str">
        <x:v>CUSTOMER_2310</x:v>
      </x:c>
      <x:c r="B114" s="17" t="n">
        <x:v>1422652.8</x:v>
      </x:c>
      <x:c r="C114" s="17" t="n">
        <x:v>356356.69</x:v>
      </x:c>
      <x:c r="D114" s="13" t="n">
        <x:v>25.0487</x:v>
      </x:c>
      <x:c r="E114" s="13" t="n">
        <x:v>0.196384</x:v>
      </x:c>
      <x:c r="F114" s="13" t="n">
        <x:v>33.213441</x:v>
      </x:c>
      <x:c r="G114" s="11" t="n">
        <x:v>99</x:v>
      </x:c>
    </x:row>
    <x:row r="115">
      <x:c r="A115" s="10" t="str">
        <x:v>CUSTOMER_1288</x:v>
      </x:c>
      <x:c r="B115" s="17" t="n">
        <x:v>1418405.52</x:v>
      </x:c>
      <x:c r="C115" s="17" t="n">
        <x:v>232950.28</x:v>
      </x:c>
      <x:c r="D115" s="13" t="n">
        <x:v>16.4234</x:v>
      </x:c>
      <x:c r="E115" s="13" t="n">
        <x:v>0.195798</x:v>
      </x:c>
      <x:c r="F115" s="13" t="n">
        <x:v>33.409238</x:v>
      </x:c>
      <x:c r="G115" s="11" t="n">
        <x:v>100</x:v>
      </x:c>
    </x:row>
  </x:sheetData>
  <x:mergeCells>
    <x:mergeCell ref="A1:G1"/>
    <x:mergeCell ref="A2:G2"/>
    <x:mergeCell ref="A4:G4"/>
    <x:mergeCell ref="A14:G14"/>
  </x:mergeCells>
  <x:pageMargins left="0.7" right="0.7" top="0.75" bottom="0.75" header="0.3" footer="0.3"/>
  <x:tableParts count="2">
    <x:tablePart xmlns:r="http://schemas.openxmlformats.org/officeDocument/2006/relationships" r:id="Rdd8fa9200f844108"/>
    <x:tablePart xmlns:r="http://schemas.openxmlformats.org/officeDocument/2006/relationships" r:id="Rac949c6e3e5f4c1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2" hidden="0" customWidth="1"/>
    <x:col min="3" max="3" width="16" hidden="0" customWidth="1"/>
    <x:col min="4" max="4" width="18" hidden="0" customWidth="1"/>
    <x:col min="5" max="5" width="18" hidden="0" customWidth="1"/>
    <x:col min="6" max="6" width="14" hidden="0" customWidth="1"/>
    <x:col min="7" max="7" width="20" hidden="0" customWidth="1"/>
  </x:cols>
  <x:sheetData>
    <x:row r="1" ht="30" customHeight="1">
      <x:c r="A1" s="3" t="str">
        <x:v>Question 3 | Customer Lifecycle and Retention Risk</x:v>
      </x:c>
      <x:c r="B1" s="3" t="str">
        <x:v>Question 3 | Customer Lifecycle and Retention Risk</x:v>
      </x:c>
      <x:c r="C1" s="3" t="str">
        <x:v>Question 3 | Customer Lifecycle and Retention Risk</x:v>
      </x:c>
      <x:c r="D1" s="3" t="str">
        <x:v>Question 3 | Customer Lifecycle and Retention Risk</x:v>
      </x:c>
      <x:c r="E1" s="3" t="str">
        <x:v>Question 3 | Customer Lifecycle and Retention Risk</x:v>
      </x:c>
      <x:c r="F1" s="3" t="str">
        <x:v>Question 3 | Customer Lifecycle and Retention Risk</x:v>
      </x:c>
      <x:c r="G1" s="3" t="str">
        <x:v>Question 3 | Customer Lifecycle and Retention Risk</x:v>
      </x:c>
    </x:row>
    <x:row r="2" ht="24" customHeight="1">
      <x:c r="A2" s="6" t="str">
        <x:v>Which customers show the clearest inactivity warning signs?</x:v>
      </x:c>
      <x:c r="B2" s="6" t="str">
        <x:v>Which customers show the clearest inactivity warning signs?</x:v>
      </x:c>
      <x:c r="C2" s="6" t="str">
        <x:v>Which customers show the clearest inactivity warning signs?</x:v>
      </x:c>
      <x:c r="D2" s="6" t="str">
        <x:v>Which customers show the clearest inactivity warning signs?</x:v>
      </x:c>
      <x:c r="E2" s="6" t="str">
        <x:v>Which customers show the clearest inactivity warning signs?</x:v>
      </x:c>
      <x:c r="F2" s="6" t="str">
        <x:v>Which customers show the clearest inactivity warning signs?</x:v>
      </x:c>
      <x:c r="G2" s="6" t="str">
        <x:v>Which customers show the clearest inactivity warning signs?</x:v>
      </x:c>
    </x:row>
    <x:row r="4" ht="28" customHeight="1">
      <x:c r="A4" s="10" t="str">
        <x:v>Lifecycle status</x:v>
      </x:c>
      <x:c r="B4" s="10" t="str">
        <x:v>Customers</x:v>
      </x:c>
      <x:c r="C4" s="10" t="str">
        <x:v>Customer share</x:v>
      </x:c>
      <x:c r="D4" s="10" t="str">
        <x:v>Trailing baseline</x:v>
      </x:c>
      <x:c r="E4" s="10" t="str">
        <x:v>Revenue at risk</x:v>
      </x:c>
      <x:c r="F4" s="10" t="str">
        <x:v>Risk share</x:v>
      </x:c>
      <x:c r="G4" s="10" t="str">
        <x:v>Share of 2024 revenue</x:v>
      </x:c>
    </x:row>
    <x:row r="5">
      <x:c r="A5" s="10" t="str">
        <x:v>Active (0-3 months)</x:v>
      </x:c>
      <x:c r="B5" s="11" t="n">
        <x:v>1678</x:v>
      </x:c>
      <x:c r="C5" s="13" t="n">
        <x:v>51.95</x:v>
      </x:c>
      <x:c r="D5" s="12" t="n">
        <x:v>130224621.42</x:v>
      </x:c>
      <x:c r="E5" s="12" t="n">
        <x:v>0</x:v>
      </x:c>
      <x:c r="F5" s="13" t="n">
        <x:v>0</x:v>
      </x:c>
      <x:c r="G5" s="13" t="n">
        <x:v>0</x:v>
      </x:c>
    </x:row>
    <x:row r="6">
      <x:c r="A6" s="10" t="str">
        <x:v>Watch (4-6 months)</x:v>
      </x:c>
      <x:c r="B6" s="11" t="n">
        <x:v>98</x:v>
      </x:c>
      <x:c r="C6" s="13" t="n">
        <x:v>3.03</x:v>
      </x:c>
      <x:c r="D6" s="12" t="n">
        <x:v>1490657.06</x:v>
      </x:c>
      <x:c r="E6" s="12" t="n">
        <x:v>1490657.06</x:v>
      </x:c>
      <x:c r="F6" s="13" t="n">
        <x:v>6.47</x:v>
      </x:c>
      <x:c r="G6" s="13" t="n">
        <x:v>1.14</x:v>
      </x:c>
    </x:row>
    <x:row r="7">
      <x:c r="A7" s="10" t="str">
        <x:v>At Risk (7-12 months)</x:v>
      </x:c>
      <x:c r="B7" s="11" t="n">
        <x:v>165</x:v>
      </x:c>
      <x:c r="C7" s="13" t="n">
        <x:v>5.11</x:v>
      </x:c>
      <x:c r="D7" s="12" t="n">
        <x:v>2595480.24</x:v>
      </x:c>
      <x:c r="E7" s="12" t="n">
        <x:v>2595480.24</x:v>
      </x:c>
      <x:c r="F7" s="13" t="n">
        <x:v>11.26</x:v>
      </x:c>
      <x:c r="G7" s="13" t="n">
        <x:v>1.98</x:v>
      </x:c>
    </x:row>
    <x:row r="8">
      <x:c r="A8" s="10" t="str">
        <x:v>Dormant (13+ months)</x:v>
      </x:c>
      <x:c r="B8" s="11" t="n">
        <x:v>1268</x:v>
      </x:c>
      <x:c r="C8" s="13" t="n">
        <x:v>39.26</x:v>
      </x:c>
      <x:c r="D8" s="12" t="n">
        <x:v>18960597.06</x:v>
      </x:c>
      <x:c r="E8" s="12" t="n">
        <x:v>18960597.06</x:v>
      </x:c>
      <x:c r="F8" s="13" t="n">
        <x:v>82.27</x:v>
      </x:c>
      <x:c r="G8" s="13" t="n">
        <x:v>14.48</x:v>
      </x:c>
    </x:row>
    <x:row r="9">
      <x:c r="A9" s="10" t="str">
        <x:v>No Positive Sales</x:v>
      </x:c>
      <x:c r="B9" s="11" t="n">
        <x:v>21</x:v>
      </x:c>
      <x:c r="C9" s="13" t="n">
        <x:v>0.65</x:v>
      </x:c>
      <x:c r="D9" s="12" t="n">
        <x:v>0</x:v>
      </x:c>
      <x:c r="E9" s="12" t="n">
        <x:v>0</x:v>
      </x:c>
      <x:c r="F9" s="13" t="n">
        <x:v>0</x:v>
      </x:c>
      <x:c r="G9" s="13" t="n">
        <x:v>0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ecf898cdbc2b4de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18" hidden="0" customWidth="1"/>
    <x:col min="4" max="4" width="16" hidden="0" customWidth="1"/>
    <x:col min="5" max="5" width="16" hidden="0" customWidth="1"/>
  </x:cols>
  <x:sheetData>
    <x:row r="1" ht="30" customHeight="1">
      <x:c r="A1" s="3" t="str">
        <x:v>Question 4 | Revenue and Margin Trends</x:v>
      </x:c>
      <x:c r="B1" s="3" t="str">
        <x:v>Question 4 | Revenue and Margin Trends</x:v>
      </x:c>
      <x:c r="C1" s="3" t="str">
        <x:v>Question 4 | Revenue and Margin Trends</x:v>
      </x:c>
      <x:c r="D1" s="3" t="str">
        <x:v>Question 4 | Revenue and Margin Trends</x:v>
      </x:c>
      <x:c r="E1" s="3" t="str">
        <x:v>Question 4 | Revenue and Margin Trends</x:v>
      </x:c>
      <x:c r="F1" s="3" t="str">
        <x:v>Question 4 | Revenue and Margin Trends</x:v>
      </x:c>
      <x:c r="G1" s="3" t="str">
        <x:v>Question 4 | Revenue and Margin Trends</x:v>
      </x:c>
      <x:c r="H1" s="3" t="str">
        <x:v>Question 4 | Revenue and Margin Trends</x:v>
      </x:c>
      <x:c r="I1" s="3" t="str">
        <x:v>Question 4 | Revenue and Margin Trends</x:v>
      </x:c>
      <x:c r="J1" s="3" t="str">
        <x:v>Question 4 | Revenue and Margin Trends</x:v>
      </x:c>
      <x:c r="K1" s="3" t="str">
        <x:v>Question 4 | Revenue and Margin Trends</x:v>
      </x:c>
      <x:c r="L1" s="3" t="str">
        <x:v>Question 4 | Revenue and Margin Trends</x:v>
      </x:c>
      <x:c r="M1" s="3" t="str">
        <x:v>Question 4 | Revenue and Margin Trends</x:v>
      </x:c>
      <x:c r="N1" s="3" t="str">
        <x:v>Question 4 | Revenue and Margin Trends</x:v>
      </x:c>
      <x:c r="O1" s="3" t="str">
        <x:v>Question 4 | Revenue and Margin Trends</x:v>
      </x:c>
    </x:row>
    <x:row r="2" ht="24" customHeight="1">
      <x:c r="A2" s="6" t="str">
        <x:v>How did recognized revenue, gross profit, and margin change from 2018 through 2024?</x:v>
      </x:c>
      <x:c r="B2" s="6" t="str">
        <x:v>How did recognized revenue, gross profit, and margin change from 2018 through 2024?</x:v>
      </x:c>
      <x:c r="C2" s="6" t="str">
        <x:v>How did recognized revenue, gross profit, and margin change from 2018 through 2024?</x:v>
      </x:c>
      <x:c r="D2" s="6" t="str">
        <x:v>How did recognized revenue, gross profit, and margin change from 2018 through 2024?</x:v>
      </x:c>
      <x:c r="E2" s="6" t="str">
        <x:v>How did recognized revenue, gross profit, and margin change from 2018 through 2024?</x:v>
      </x:c>
      <x:c r="F2" s="6" t="str">
        <x:v>How did recognized revenue, gross profit, and margin change from 2018 through 2024?</x:v>
      </x:c>
      <x:c r="G2" s="6" t="str">
        <x:v>How did recognized revenue, gross profit, and margin change from 2018 through 2024?</x:v>
      </x:c>
      <x:c r="H2" s="6" t="str">
        <x:v>How did recognized revenue, gross profit, and margin change from 2018 through 2024?</x:v>
      </x:c>
      <x:c r="I2" s="6" t="str">
        <x:v>How did recognized revenue, gross profit, and margin change from 2018 through 2024?</x:v>
      </x:c>
      <x:c r="J2" s="6" t="str">
        <x:v>How did recognized revenue, gross profit, and margin change from 2018 through 2024?</x:v>
      </x:c>
      <x:c r="K2" s="6" t="str">
        <x:v>How did recognized revenue, gross profit, and margin change from 2018 through 2024?</x:v>
      </x:c>
      <x:c r="L2" s="6" t="str">
        <x:v>How did recognized revenue, gross profit, and margin change from 2018 through 2024?</x:v>
      </x:c>
      <x:c r="M2" s="6" t="str">
        <x:v>How did recognized revenue, gross profit, and margin change from 2018 through 2024?</x:v>
      </x:c>
      <x:c r="N2" s="6" t="str">
        <x:v>How did recognized revenue, gross profit, and margin change from 2018 through 2024?</x:v>
      </x:c>
      <x:c r="O2" s="6" t="str">
        <x:v>How did recognized revenue, gross profit, and margin change from 2018 through 2024?</x:v>
      </x:c>
    </x:row>
    <x:row r="4" ht="28" customHeight="1">
      <x:c r="A4" s="10" t="str">
        <x:v>Year</x:v>
      </x:c>
      <x:c r="B4" s="10" t="str">
        <x:v>Revenue</x:v>
      </x:c>
      <x:c r="C4" s="10" t="str">
        <x:v>Gross profit</x:v>
      </x:c>
      <x:c r="D4" s="10" t="str">
        <x:v>Gross margin</x:v>
      </x:c>
      <x:c r="E4" s="10" t="str">
        <x:v>Revenue YoY</x:v>
      </x:c>
    </x:row>
    <x:row r="5">
      <x:c r="A5" s="18" t="n">
        <x:v>2018</x:v>
      </x:c>
      <x:c r="B5" s="12" t="n">
        <x:v>79379032.43</x:v>
      </x:c>
      <x:c r="C5" s="12" t="n">
        <x:v>15203835.9</x:v>
      </x:c>
      <x:c r="D5" s="13" t="n">
        <x:v>19.1535</x:v>
      </x:c>
      <x:c r="E5" s="13" t="str"/>
    </x:row>
    <x:row r="6">
      <x:c r="A6" s="18" t="n">
        <x:v>2019</x:v>
      </x:c>
      <x:c r="B6" s="12" t="n">
        <x:v>82943093.53</x:v>
      </x:c>
      <x:c r="C6" s="12" t="n">
        <x:v>16975546.03</x:v>
      </x:c>
      <x:c r="D6" s="13" t="n">
        <x:v>20.4665</x:v>
      </x:c>
      <x:c r="E6" s="13" t="n">
        <x:v>4.49</x:v>
      </x:c>
    </x:row>
    <x:row r="7">
      <x:c r="A7" s="18" t="n">
        <x:v>2020</x:v>
      </x:c>
      <x:c r="B7" s="12" t="n">
        <x:v>88280945.31</x:v>
      </x:c>
      <x:c r="C7" s="12" t="n">
        <x:v>18922471.76</x:v>
      </x:c>
      <x:c r="D7" s="13" t="n">
        <x:v>21.4344</x:v>
      </x:c>
      <x:c r="E7" s="13" t="n">
        <x:v>6.44</x:v>
      </x:c>
    </x:row>
    <x:row r="8">
      <x:c r="A8" s="18" t="n">
        <x:v>2021</x:v>
      </x:c>
      <x:c r="B8" s="12" t="n">
        <x:v>102980539.09</x:v>
      </x:c>
      <x:c r="C8" s="12" t="n">
        <x:v>22025651.43</x:v>
      </x:c>
      <x:c r="D8" s="13" t="n">
        <x:v>21.3882</x:v>
      </x:c>
      <x:c r="E8" s="13" t="n">
        <x:v>16.65</x:v>
      </x:c>
    </x:row>
    <x:row r="9">
      <x:c r="A9" s="18" t="n">
        <x:v>2022</x:v>
      </x:c>
      <x:c r="B9" s="12" t="n">
        <x:v>116355938.38</x:v>
      </x:c>
      <x:c r="C9" s="12" t="n">
        <x:v>25082456.36</x:v>
      </x:c>
      <x:c r="D9" s="13" t="n">
        <x:v>21.5567</x:v>
      </x:c>
      <x:c r="E9" s="13" t="n">
        <x:v>12.99</x:v>
      </x:c>
    </x:row>
    <x:row r="10">
      <x:c r="A10" s="18" t="n">
        <x:v>2023</x:v>
      </x:c>
      <x:c r="B10" s="12" t="n">
        <x:v>123507365.34</x:v>
      </x:c>
      <x:c r="C10" s="12" t="n">
        <x:v>26874884.32</x:v>
      </x:c>
      <x:c r="D10" s="13" t="n">
        <x:v>21.7597</x:v>
      </x:c>
      <x:c r="E10" s="13" t="n">
        <x:v>6.15</x:v>
      </x:c>
    </x:row>
    <x:row r="11">
      <x:c r="A11" s="18" t="n">
        <x:v>2024</x:v>
      </x:c>
      <x:c r="B11" s="12" t="n">
        <x:v>130976372.66</x:v>
      </x:c>
      <x:c r="C11" s="12" t="n">
        <x:v>28832515.17</x:v>
      </x:c>
      <x:c r="D11" s="13" t="n">
        <x:v>22.0135</x:v>
      </x:c>
      <x:c r="E11" s="13" t="n">
        <x:v>6.05</x:v>
      </x:c>
    </x:row>
  </x:sheetData>
  <x:mergeCells>
    <x:mergeCell ref="A1:O1"/>
    <x:mergeCell ref="A2:O2"/>
  </x:mergeCells>
  <x:pageMargins left="0.7" right="0.7" top="0.75" bottom="0.75" header="0.3" footer="0.3"/>
  <x:drawing xmlns:r="http://schemas.openxmlformats.org/officeDocument/2006/relationships" r:id="Rd541a09a23c54b5e"/>
  <x:tableParts count="1">
    <x:tablePart xmlns:r="http://schemas.openxmlformats.org/officeDocument/2006/relationships" r:id="R8de11f6d40574cd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6" hidden="0" customWidth="1"/>
    <x:col min="3" max="3" width="16" hidden="0" customWidth="1"/>
    <x:col min="4" max="4" width="18" hidden="0" customWidth="1"/>
    <x:col min="5" max="5" width="16" hidden="0" customWidth="1"/>
    <x:col min="6" max="6" width="20" hidden="0" customWidth="1"/>
    <x:col min="7" max="7" width="14" hidden="0" customWidth="1"/>
    <x:col min="8" max="8" width="14" hidden="0" customWidth="1"/>
  </x:cols>
  <x:sheetData>
    <x:row r="1" ht="30" customHeight="1">
      <x:c r="A1" s="3" t="str">
        <x:v>Supporting Detail | Segment Growth</x:v>
      </x:c>
      <x:c r="B1" s="3" t="str">
        <x:v>Supporting Detail | Segment Growth</x:v>
      </x:c>
      <x:c r="C1" s="3" t="str">
        <x:v>Supporting Detail | Segment Growth</x:v>
      </x:c>
      <x:c r="D1" s="3" t="str">
        <x:v>Supporting Detail | Segment Growth</x:v>
      </x:c>
      <x:c r="E1" s="3" t="str">
        <x:v>Supporting Detail | Segment Growth</x:v>
      </x:c>
      <x:c r="F1" s="3" t="str">
        <x:v>Supporting Detail | Segment Growth</x:v>
      </x:c>
      <x:c r="G1" s="3" t="str">
        <x:v>Supporting Detail | Segment Growth</x:v>
      </x:c>
      <x:c r="H1" s="3" t="str">
        <x:v>Supporting Detail | Segment Growth</x:v>
      </x:c>
    </x:row>
    <x:row r="2" ht="24" customHeight="1">
      <x:c r="A2" s="6" t="str">
        <x:v>2018-to-2024 segment comparisons used in Question 1.</x:v>
      </x:c>
      <x:c r="B2" s="6" t="str">
        <x:v>2018-to-2024 segment comparisons used in Question 1.</x:v>
      </x:c>
      <x:c r="C2" s="6" t="str">
        <x:v>2018-to-2024 segment comparisons used in Question 1.</x:v>
      </x:c>
      <x:c r="D2" s="6" t="str">
        <x:v>2018-to-2024 segment comparisons used in Question 1.</x:v>
      </x:c>
      <x:c r="E2" s="6" t="str">
        <x:v>2018-to-2024 segment comparisons used in Question 1.</x:v>
      </x:c>
      <x:c r="F2" s="6" t="str">
        <x:v>2018-to-2024 segment comparisons used in Question 1.</x:v>
      </x:c>
      <x:c r="G2" s="6" t="str">
        <x:v>2018-to-2024 segment comparisons used in Question 1.</x:v>
      </x:c>
      <x:c r="H2" s="6" t="str">
        <x:v>2018-to-2024 segment comparisons used in Question 1.</x:v>
      </x:c>
    </x:row>
    <x:row r="4" ht="28" customHeight="1">
      <x:c r="A4" s="10" t="str">
        <x:v>Customer segment</x:v>
      </x:c>
      <x:c r="B4" s="10" t="str">
        <x:v>2018 revenue</x:v>
      </x:c>
      <x:c r="C4" s="10" t="str">
        <x:v>2024 revenue</x:v>
      </x:c>
      <x:c r="D4" s="10" t="str">
        <x:v>Revenue change</x:v>
      </x:c>
      <x:c r="E4" s="10" t="str">
        <x:v>Revenue growth</x:v>
      </x:c>
      <x:c r="F4" s="10" t="str">
        <x:v>Gross-profit change</x:v>
      </x:c>
      <x:c r="G4" s="10" t="str">
        <x:v>2018 margin</x:v>
      </x:c>
      <x:c r="H4" s="10" t="str">
        <x:v>2024 margin</x:v>
      </x:c>
    </x:row>
    <x:row r="5">
      <x:c r="A5" s="10" t="str">
        <x:v>Independent Retail Accounts</x:v>
      </x:c>
      <x:c r="B5" s="12" t="n">
        <x:v>38048584.68</x:v>
      </x:c>
      <x:c r="C5" s="12" t="n">
        <x:v>60254924.87</x:v>
      </x:c>
      <x:c r="D5" s="12" t="n">
        <x:v>22206340.19</x:v>
      </x:c>
      <x:c r="E5" s="13" t="n">
        <x:v>58.36</x:v>
      </x:c>
      <x:c r="F5" s="12" t="n">
        <x:v>6110177.95</x:v>
      </x:c>
      <x:c r="G5" s="13" t="n">
        <x:v>20.55</x:v>
      </x:c>
      <x:c r="H5" s="13" t="n">
        <x:v>23.12</x:v>
      </x:c>
    </x:row>
    <x:row r="6">
      <x:c r="A6" s="10" t="str">
        <x:v>Wholesale Trade Accounts</x:v>
      </x:c>
      <x:c r="B6" s="12" t="n">
        <x:v>11362849.37</x:v>
      </x:c>
      <x:c r="C6" s="12" t="n">
        <x:v>18583298.48</x:v>
      </x:c>
      <x:c r="D6" s="12" t="n">
        <x:v>7220449.11</x:v>
      </x:c>
      <x:c r="E6" s="13" t="n">
        <x:v>63.54</x:v>
      </x:c>
      <x:c r="F6" s="12" t="n">
        <x:v>1692112.01</x:v>
      </x:c>
      <x:c r="G6" s="13" t="n">
        <x:v>17.21</x:v>
      </x:c>
      <x:c r="H6" s="13" t="n">
        <x:v>19.63</x:v>
      </x:c>
    </x:row>
    <x:row r="7">
      <x:c r="A7" s="10" t="str">
        <x:v>Commercial Service Accounts</x:v>
      </x:c>
      <x:c r="B7" s="12" t="n">
        <x:v>5891826.21</x:v>
      </x:c>
      <x:c r="C7" s="12" t="n">
        <x:v>9270111.71</x:v>
      </x:c>
      <x:c r="D7" s="12" t="n">
        <x:v>3378285.49</x:v>
      </x:c>
      <x:c r="E7" s="13" t="n">
        <x:v>57.34</x:v>
      </x:c>
      <x:c r="F7" s="12" t="n">
        <x:v>717963.1</x:v>
      </x:c>
      <x:c r="G7" s="13" t="n">
        <x:v>20.85</x:v>
      </x:c>
      <x:c r="H7" s="13" t="n">
        <x:v>21</x:v>
      </x:c>
    </x:row>
    <x:row r="8">
      <x:c r="A8" s="10" t="str">
        <x:v>Regional Multi-Unit Retail Chain</x:v>
      </x:c>
      <x:c r="B8" s="12" t="n">
        <x:v>0</x:v>
      </x:c>
      <x:c r="C8" s="12" t="n">
        <x:v>3198853.38</x:v>
      </x:c>
      <x:c r="D8" s="12" t="n">
        <x:v>3198853.38</x:v>
      </x:c>
      <x:c r="E8" s="13" t="str"/>
      <x:c r="F8" s="12" t="n">
        <x:v>729451.95</x:v>
      </x:c>
      <x:c r="G8" s="13" t="str"/>
      <x:c r="H8" s="13" t="n">
        <x:v>22.8</x:v>
      </x:c>
    </x:row>
    <x:row r="9">
      <x:c r="A9" s="10" t="str">
        <x:v>Regional Retail Chain – Tier 2</x:v>
      </x:c>
      <x:c r="B9" s="12" t="n">
        <x:v>2723165</x:v>
      </x:c>
      <x:c r="C9" s="12" t="n">
        <x:v>4907508.41</x:v>
      </x:c>
      <x:c r="D9" s="12" t="n">
        <x:v>2184343.41</x:v>
      </x:c>
      <x:c r="E9" s="13" t="n">
        <x:v>80.21</x:v>
      </x:c>
      <x:c r="F9" s="12" t="n">
        <x:v>536527.84</x:v>
      </x:c>
      <x:c r="G9" s="13" t="n">
        <x:v>18.08</x:v>
      </x:c>
      <x:c r="H9" s="13" t="n">
        <x:v>20.97</x:v>
      </x:c>
    </x:row>
    <x:row r="10">
      <x:c r="A10" s="10" t="str">
        <x:v>Family-Owned Retail Business</x:v>
      </x:c>
      <x:c r="B10" s="12" t="n">
        <x:v>0</x:v>
      </x:c>
      <x:c r="C10" s="12" t="n">
        <x:v>2013495.98</x:v>
      </x:c>
      <x:c r="D10" s="12" t="n">
        <x:v>2013495.98</x:v>
      </x:c>
      <x:c r="E10" s="13" t="str"/>
      <x:c r="F10" s="12" t="n">
        <x:v>416221.97</x:v>
      </x:c>
      <x:c r="G10" s="13" t="str"/>
      <x:c r="H10" s="13" t="n">
        <x:v>20.67</x:v>
      </x:c>
    </x:row>
    <x:row r="11">
      <x:c r="A11" s="10" t="str">
        <x:v>Retail Cooperative Network</x:v>
      </x:c>
      <x:c r="B11" s="12" t="n">
        <x:v>1610270.53</x:v>
      </x:c>
      <x:c r="C11" s="12" t="n">
        <x:v>3400613.2</x:v>
      </x:c>
      <x:c r="D11" s="12" t="n">
        <x:v>1790342.67</x:v>
      </x:c>
      <x:c r="E11" s="13" t="n">
        <x:v>111.18</x:v>
      </x:c>
      <x:c r="F11" s="12" t="n">
        <x:v>541011.57</x:v>
      </x:c>
      <x:c r="G11" s="13" t="n">
        <x:v>20.05</x:v>
      </x:c>
      <x:c r="H11" s="13" t="n">
        <x:v>25.4</x:v>
      </x:c>
    </x:row>
    <x:row r="12">
      <x:c r="A12" s="10" t="str">
        <x:v>Suburban Retail Chain</x:v>
      </x:c>
      <x:c r="B12" s="12" t="n">
        <x:v>1467561.88</x:v>
      </x:c>
      <x:c r="C12" s="12" t="n">
        <x:v>2863841.55</x:v>
      </x:c>
      <x:c r="D12" s="12" t="n">
        <x:v>1396279.67</x:v>
      </x:c>
      <x:c r="E12" s="13" t="n">
        <x:v>95.14</x:v>
      </x:c>
      <x:c r="F12" s="12" t="n">
        <x:v>396171.65</x:v>
      </x:c>
      <x:c r="G12" s="13" t="n">
        <x:v>18.85</x:v>
      </x:c>
      <x:c r="H12" s="13" t="n">
        <x:v>23.49</x:v>
      </x:c>
    </x:row>
    <x:row r="13">
      <x:c r="A13" s="10" t="str">
        <x:v>Regional Specialty Retailer</x:v>
      </x:c>
      <x:c r="B13" s="12" t="n">
        <x:v>0</x:v>
      </x:c>
      <x:c r="C13" s="12" t="n">
        <x:v>1300723.78</x:v>
      </x:c>
      <x:c r="D13" s="12" t="n">
        <x:v>1300723.78</x:v>
      </x:c>
      <x:c r="E13" s="13" t="str"/>
      <x:c r="F13" s="12" t="n">
        <x:v>325040.58</x:v>
      </x:c>
      <x:c r="G13" s="13" t="str"/>
      <x:c r="H13" s="13" t="n">
        <x:v>24.99</x:v>
      </x:c>
    </x:row>
    <x:row r="14">
      <x:c r="A14" s="10" t="str">
        <x:v>Regional Retail Chain – Tier 3</x:v>
      </x:c>
      <x:c r="B14" s="12" t="n">
        <x:v>1477662.37</x:v>
      </x:c>
      <x:c r="C14" s="12" t="n">
        <x:v>2609975.32</x:v>
      </x:c>
      <x:c r="D14" s="12" t="n">
        <x:v>1132312.95</x:v>
      </x:c>
      <x:c r="E14" s="13" t="n">
        <x:v>76.63</x:v>
      </x:c>
      <x:c r="F14" s="12" t="n">
        <x:v>338964.5</x:v>
      </x:c>
      <x:c r="G14" s="13" t="n">
        <x:v>16.53</x:v>
      </x:c>
      <x:c r="H14" s="13" t="n">
        <x:v>22.35</x:v>
      </x:c>
    </x:row>
    <x:row r="15">
      <x:c r="A15" s="10" t="str">
        <x:v>Niche Specialty Retailer</x:v>
      </x:c>
      <x:c r="B15" s="12" t="n">
        <x:v>502965.92</x:v>
      </x:c>
      <x:c r="C15" s="12" t="n">
        <x:v>1443538.51</x:v>
      </x:c>
      <x:c r="D15" s="12" t="n">
        <x:v>940572.59</x:v>
      </x:c>
      <x:c r="E15" s="13" t="n">
        <x:v>187.01</x:v>
      </x:c>
      <x:c r="F15" s="12" t="n">
        <x:v>125375.62</x:v>
      </x:c>
      <x:c r="G15" s="13" t="n">
        <x:v>14.29</x:v>
      </x:c>
      <x:c r="H15" s="13" t="n">
        <x:v>13.66</x:v>
      </x:c>
    </x:row>
    <x:row r="16">
      <x:c r="A16" s="10" t="str">
        <x:v>Cooperative Retail Affiliate</x:v>
      </x:c>
      <x:c r="B16" s="12" t="n">
        <x:v>366603.03</x:v>
      </x:c>
      <x:c r="C16" s="12" t="n">
        <x:v>1193557.22</x:v>
      </x:c>
      <x:c r="D16" s="12" t="n">
        <x:v>826954.19</x:v>
      </x:c>
      <x:c r="E16" s="13" t="n">
        <x:v>225.57</x:v>
      </x:c>
      <x:c r="F16" s="12" t="n">
        <x:v>146586.7</x:v>
      </x:c>
      <x:c r="G16" s="13" t="n">
        <x:v>15.57</x:v>
      </x:c>
      <x:c r="H16" s="13" t="n">
        <x:v>17.06</x:v>
      </x:c>
    </x:row>
    <x:row r="17">
      <x:c r="A17" s="10" t="str">
        <x:v>Regional Specialty Market</x:v>
      </x:c>
      <x:c r="B17" s="12" t="n">
        <x:v>295570.26</x:v>
      </x:c>
      <x:c r="C17" s="12" t="n">
        <x:v>1012531.8</x:v>
      </x:c>
      <x:c r="D17" s="12" t="n">
        <x:v>716961.55</x:v>
      </x:c>
      <x:c r="E17" s="13" t="n">
        <x:v>242.57</x:v>
      </x:c>
      <x:c r="F17" s="12" t="n">
        <x:v>180234.34</x:v>
      </x:c>
      <x:c r="G17" s="13" t="n">
        <x:v>21.62</x:v>
      </x:c>
      <x:c r="H17" s="13" t="n">
        <x:v>24.11</x:v>
      </x:c>
    </x:row>
    <x:row r="18">
      <x:c r="A18" s="10" t="str">
        <x:v>Discount Retail Chain</x:v>
      </x:c>
      <x:c r="B18" s="12" t="n">
        <x:v>264893.62</x:v>
      </x:c>
      <x:c r="C18" s="12" t="n">
        <x:v>948480.93</x:v>
      </x:c>
      <x:c r="D18" s="12" t="n">
        <x:v>683587.31</x:v>
      </x:c>
      <x:c r="E18" s="13" t="n">
        <x:v>258.06</x:v>
      </x:c>
      <x:c r="F18" s="12" t="n">
        <x:v>186114.4</x:v>
      </x:c>
      <x:c r="G18" s="13" t="n">
        <x:v>21.43</x:v>
      </x:c>
      <x:c r="H18" s="13" t="n">
        <x:v>25.61</x:v>
      </x:c>
    </x:row>
    <x:row r="19">
      <x:c r="A19" s="10" t="str">
        <x:v>Destination Retail Location</x:v>
      </x:c>
      <x:c r="B19" s="12" t="n">
        <x:v>0</x:v>
      </x:c>
      <x:c r="C19" s="12" t="n">
        <x:v>643472.44</x:v>
      </x:c>
      <x:c r="D19" s="12" t="n">
        <x:v>643472.44</x:v>
      </x:c>
      <x:c r="E19" s="13" t="str"/>
      <x:c r="F19" s="12" t="n">
        <x:v>133258.91</x:v>
      </x:c>
      <x:c r="G19" s="13" t="str"/>
      <x:c r="H19" s="13" t="n">
        <x:v>20.71</x:v>
      </x:c>
    </x:row>
    <x:row r="20">
      <x:c r="A20" s="10" t="str">
        <x:v>Multi-Location Retail Group – Premium Tier</x:v>
      </x:c>
      <x:c r="B20" s="12" t="n">
        <x:v>864737.25</x:v>
      </x:c>
      <x:c r="C20" s="12" t="n">
        <x:v>1490872.49</x:v>
      </x:c>
      <x:c r="D20" s="12" t="n">
        <x:v>626135.23</x:v>
      </x:c>
      <x:c r="E20" s="13" t="n">
        <x:v>72.41</x:v>
      </x:c>
      <x:c r="F20" s="12" t="n">
        <x:v>179438.75</x:v>
      </x:c>
      <x:c r="G20" s="13" t="n">
        <x:v>19.96</x:v>
      </x:c>
      <x:c r="H20" s="13" t="n">
        <x:v>23.61</x:v>
      </x:c>
    </x:row>
    <x:row r="21">
      <x:c r="A21" s="10" t="str">
        <x:v>Independent Distribution Partner</x:v>
      </x:c>
      <x:c r="B21" s="12" t="n">
        <x:v>388630.59</x:v>
      </x:c>
      <x:c r="C21" s="12" t="n">
        <x:v>992805.97</x:v>
      </x:c>
      <x:c r="D21" s="12" t="n">
        <x:v>604175.38</x:v>
      </x:c>
      <x:c r="E21" s="13" t="n">
        <x:v>155.46</x:v>
      </x:c>
      <x:c r="F21" s="12" t="n">
        <x:v>152259.97</x:v>
      </x:c>
      <x:c r="G21" s="13" t="n">
        <x:v>24.04</x:v>
      </x:c>
      <x:c r="H21" s="13" t="n">
        <x:v>24.75</x:v>
      </x:c>
    </x:row>
    <x:row r="22">
      <x:c r="A22" s="10" t="str">
        <x:v>Commercial Supply Vendor</x:v>
      </x:c>
      <x:c r="B22" s="12" t="n">
        <x:v>0</x:v>
      </x:c>
      <x:c r="C22" s="12" t="n">
        <x:v>581526.3</x:v>
      </x:c>
      <x:c r="D22" s="12" t="n">
        <x:v>581526.3</x:v>
      </x:c>
      <x:c r="E22" s="13" t="str"/>
      <x:c r="F22" s="12" t="n">
        <x:v>87738.31</x:v>
      </x:c>
      <x:c r="G22" s="13" t="str"/>
      <x:c r="H22" s="13" t="n">
        <x:v>15.09</x:v>
      </x:c>
    </x:row>
    <x:row r="23">
      <x:c r="A23" s="10" t="str">
        <x:v>Village Retail Operator</x:v>
      </x:c>
      <x:c r="B23" s="12" t="n">
        <x:v>0</x:v>
      </x:c>
      <x:c r="C23" s="12" t="n">
        <x:v>535515.33</x:v>
      </x:c>
      <x:c r="D23" s="12" t="n">
        <x:v>535515.33</x:v>
      </x:c>
      <x:c r="E23" s="13" t="str"/>
      <x:c r="F23" s="12" t="n">
        <x:v>123863.27</x:v>
      </x:c>
      <x:c r="G23" s="13" t="str"/>
      <x:c r="H23" s="13" t="n">
        <x:v>23.13</x:v>
      </x:c>
    </x:row>
    <x:row r="24">
      <x:c r="A24" s="10" t="str">
        <x:v>Large Regional Retail Chain</x:v>
      </x:c>
      <x:c r="B24" s="12" t="n">
        <x:v>0</x:v>
      </x:c>
      <x:c r="C24" s="12" t="n">
        <x:v>514690.39</x:v>
      </x:c>
      <x:c r="D24" s="12" t="n">
        <x:v>514690.39</x:v>
      </x:c>
      <x:c r="E24" s="13" t="str"/>
      <x:c r="F24" s="12" t="n">
        <x:v>123524.69</x:v>
      </x:c>
      <x:c r="G24" s="13" t="str"/>
      <x:c r="H24" s="13" t="n">
        <x:v>24</x:v>
      </x:c>
    </x:row>
    <x:row r="25">
      <x:c r="A25" s="10" t="str">
        <x:v>Urban Independent Retailer</x:v>
      </x:c>
      <x:c r="B25" s="12" t="n">
        <x:v>197658.32</x:v>
      </x:c>
      <x:c r="C25" s="12" t="n">
        <x:v>703665.48</x:v>
      </x:c>
      <x:c r="D25" s="12" t="n">
        <x:v>506007.16</x:v>
      </x:c>
      <x:c r="E25" s="13" t="n">
        <x:v>256</x:v>
      </x:c>
      <x:c r="F25" s="12" t="n">
        <x:v>84858.19</x:v>
      </x:c>
      <x:c r="G25" s="13" t="n">
        <x:v>17.19</x:v>
      </x:c>
      <x:c r="H25" s="13" t="n">
        <x:v>16.89</x:v>
      </x:c>
    </x:row>
    <x:row r="26">
      <x:c r="A26" s="10" t="str">
        <x:v>Event &amp; Promotional Accounts</x:v>
      </x:c>
      <x:c r="B26" s="12" t="n">
        <x:v>0</x:v>
      </x:c>
      <x:c r="C26" s="12" t="n">
        <x:v>468403.45</x:v>
      </x:c>
      <x:c r="D26" s="12" t="n">
        <x:v>468403.45</x:v>
      </x:c>
      <x:c r="E26" s="13" t="str"/>
      <x:c r="F26" s="12" t="n">
        <x:v>101453.29</x:v>
      </x:c>
      <x:c r="G26" s="13" t="str"/>
      <x:c r="H26" s="13" t="n">
        <x:v>21.66</x:v>
      </x:c>
    </x:row>
    <x:row r="27">
      <x:c r="A27" s="10" t="str">
        <x:v>National Retail Affiliate</x:v>
      </x:c>
      <x:c r="B27" s="12" t="n">
        <x:v>0</x:v>
      </x:c>
      <x:c r="C27" s="12" t="n">
        <x:v>306682.37</x:v>
      </x:c>
      <x:c r="D27" s="12" t="n">
        <x:v>306682.37</x:v>
      </x:c>
      <x:c r="E27" s="13" t="str"/>
      <x:c r="F27" s="12" t="n">
        <x:v>79211.15</x:v>
      </x:c>
      <x:c r="G27" s="13" t="str"/>
      <x:c r="H27" s="13" t="n">
        <x:v>25.83</x:v>
      </x:c>
    </x:row>
    <x:row r="28">
      <x:c r="A28" s="10" t="str">
        <x:v>Specialty Beverage Retailer</x:v>
      </x:c>
      <x:c r="B28" s="12" t="n">
        <x:v>0</x:v>
      </x:c>
      <x:c r="C28" s="12" t="n">
        <x:v>285192.75</x:v>
      </x:c>
      <x:c r="D28" s="12" t="n">
        <x:v>285192.75</x:v>
      </x:c>
      <x:c r="E28" s="13" t="str"/>
      <x:c r="F28" s="12" t="n">
        <x:v>72794.24</x:v>
      </x:c>
      <x:c r="G28" s="13" t="str"/>
      <x:c r="H28" s="13" t="n">
        <x:v>25.52</x:v>
      </x:c>
    </x:row>
    <x:row r="29">
      <x:c r="A29" s="10" t="str">
        <x:v>Value-Oriented Retail Chain</x:v>
      </x:c>
      <x:c r="B29" s="12" t="n">
        <x:v>168063.55</x:v>
      </x:c>
      <x:c r="C29" s="12" t="n">
        <x:v>449340.29</x:v>
      </x:c>
      <x:c r="D29" s="12" t="n">
        <x:v>281276.74</x:v>
      </x:c>
      <x:c r="E29" s="13" t="n">
        <x:v>167.36</x:v>
      </x:c>
      <x:c r="F29" s="12" t="n">
        <x:v>49529.14</x:v>
      </x:c>
      <x:c r="G29" s="13" t="n">
        <x:v>24.73</x:v>
      </x:c>
      <x:c r="H29" s="13" t="n">
        <x:v>20.27</x:v>
      </x:c>
    </x:row>
    <x:row r="30">
      <x:c r="A30" s="10" t="str">
        <x:v>Regional Retail Affiliate</x:v>
      </x:c>
      <x:c r="B30" s="12" t="n">
        <x:v>59768.1</x:v>
      </x:c>
      <x:c r="C30" s="12" t="n">
        <x:v>327961.81</x:v>
      </x:c>
      <x:c r="D30" s="12" t="n">
        <x:v>268193.71</x:v>
      </x:c>
      <x:c r="E30" s="13" t="n">
        <x:v>448.72</x:v>
      </x:c>
      <x:c r="F30" s="12" t="n">
        <x:v>62744.23</x:v>
      </x:c>
      <x:c r="G30" s="13" t="n">
        <x:v>24.17</x:v>
      </x:c>
      <x:c r="H30" s="13" t="n">
        <x:v>23.54</x:v>
      </x:c>
    </x:row>
    <x:row r="31">
      <x:c r="A31" s="10" t="str">
        <x:v>Regional Multi-Unit Operator</x:v>
      </x:c>
      <x:c r="B31" s="12" t="n">
        <x:v>89673.98</x:v>
      </x:c>
      <x:c r="C31" s="12" t="n">
        <x:v>309976.13</x:v>
      </x:c>
      <x:c r="D31" s="12" t="n">
        <x:v>220302.15</x:v>
      </x:c>
      <x:c r="E31" s="13" t="n">
        <x:v>245.67</x:v>
      </x:c>
      <x:c r="F31" s="12" t="n">
        <x:v>51025.49</x:v>
      </x:c>
      <x:c r="G31" s="13" t="n">
        <x:v>15.37</x:v>
      </x:c>
      <x:c r="H31" s="13" t="n">
        <x:v>20.91</x:v>
      </x:c>
    </x:row>
    <x:row r="32">
      <x:c r="A32" s="10" t="str">
        <x:v>Import Marketplace Partner</x:v>
      </x:c>
      <x:c r="B32" s="12" t="n">
        <x:v>0</x:v>
      </x:c>
      <x:c r="C32" s="12" t="n">
        <x:v>211501.37</x:v>
      </x:c>
      <x:c r="D32" s="12" t="n">
        <x:v>211501.37</x:v>
      </x:c>
      <x:c r="E32" s="13" t="str"/>
      <x:c r="F32" s="12" t="n">
        <x:v>45406.4</x:v>
      </x:c>
      <x:c r="G32" s="13" t="str"/>
      <x:c r="H32" s="13" t="n">
        <x:v>21.47</x:v>
      </x:c>
    </x:row>
    <x:row r="33">
      <x:c r="A33" s="10" t="str">
        <x:v>Wine &amp; Spirits Retailer</x:v>
      </x:c>
      <x:c r="B33" s="12" t="n">
        <x:v>0</x:v>
      </x:c>
      <x:c r="C33" s="12" t="n">
        <x:v>186898.08</x:v>
      </x:c>
      <x:c r="D33" s="12" t="n">
        <x:v>186898.08</x:v>
      </x:c>
      <x:c r="E33" s="13" t="str"/>
      <x:c r="F33" s="12" t="n">
        <x:v>54457.91</x:v>
      </x:c>
      <x:c r="G33" s="13" t="str"/>
      <x:c r="H33" s="13" t="n">
        <x:v>29.14</x:v>
      </x:c>
    </x:row>
    <x:row r="34">
      <x:c r="A34" s="10" t="str">
        <x:v>Suburban Independent Retailer</x:v>
      </x:c>
      <x:c r="B34" s="12" t="n">
        <x:v>178180.02</x:v>
      </x:c>
      <x:c r="C34" s="12" t="n">
        <x:v>350481.22</x:v>
      </x:c>
      <x:c r="D34" s="12" t="n">
        <x:v>172301.2</x:v>
      </x:c>
      <x:c r="E34" s="13" t="n">
        <x:v>96.7</x:v>
      </x:c>
      <x:c r="F34" s="12" t="n">
        <x:v>48538.21</x:v>
      </x:c>
      <x:c r="G34" s="13" t="n">
        <x:v>17.41</x:v>
      </x:c>
      <x:c r="H34" s="13" t="n">
        <x:v>22.7</x:v>
      </x:c>
    </x:row>
    <x:row r="35">
      <x:c r="A35" s="10" t="str">
        <x:v>Convenience Retail Group</x:v>
      </x:c>
      <x:c r="B35" s="12" t="n">
        <x:v>0</x:v>
      </x:c>
      <x:c r="C35" s="12" t="n">
        <x:v>161958.9</x:v>
      </x:c>
      <x:c r="D35" s="12" t="n">
        <x:v>161958.9</x:v>
      </x:c>
      <x:c r="E35" s="13" t="str"/>
      <x:c r="F35" s="12" t="n">
        <x:v>44538.16</x:v>
      </x:c>
      <x:c r="G35" s="13" t="str"/>
      <x:c r="H35" s="13" t="n">
        <x:v>27.5</x:v>
      </x:c>
    </x:row>
    <x:row r="36">
      <x:c r="A36" s="10" t="str">
        <x:v>Neighborhood Retail Group</x:v>
      </x:c>
      <x:c r="B36" s="12" t="n">
        <x:v>447516.14</x:v>
      </x:c>
      <x:c r="C36" s="12" t="n">
        <x:v>593363.26</x:v>
      </x:c>
      <x:c r="D36" s="12" t="n">
        <x:v>145847.12</x:v>
      </x:c>
      <x:c r="E36" s="13" t="n">
        <x:v>32.59</x:v>
      </x:c>
      <x:c r="F36" s="12" t="n">
        <x:v>19724.59</x:v>
      </x:c>
      <x:c r="G36" s="13" t="n">
        <x:v>14</x:v>
      </x:c>
      <x:c r="H36" s="13" t="n">
        <x:v>13.88</x:v>
      </x:c>
    </x:row>
    <x:row r="37">
      <x:c r="A37" s="10" t="str">
        <x:v>National Retail Affiliate – Secondary</x:v>
      </x:c>
      <x:c r="B37" s="12" t="n">
        <x:v>0</x:v>
      </x:c>
      <x:c r="C37" s="12" t="n">
        <x:v>143140.25</x:v>
      </x:c>
      <x:c r="D37" s="12" t="n">
        <x:v>143140.25</x:v>
      </x:c>
      <x:c r="E37" s="13" t="str"/>
      <x:c r="F37" s="12" t="n">
        <x:v>33131.95</x:v>
      </x:c>
      <x:c r="G37" s="13" t="str"/>
      <x:c r="H37" s="13" t="n">
        <x:v>23.15</x:v>
      </x:c>
    </x:row>
    <x:row r="38">
      <x:c r="A38" s="10" t="str">
        <x:v>Boutique Retail Operator</x:v>
      </x:c>
      <x:c r="B38" s="12" t="n">
        <x:v>0</x:v>
      </x:c>
      <x:c r="C38" s="12" t="n">
        <x:v>121962.5</x:v>
      </x:c>
      <x:c r="D38" s="12" t="n">
        <x:v>121962.5</x:v>
      </x:c>
      <x:c r="E38" s="13" t="str"/>
      <x:c r="F38" s="12" t="n">
        <x:v>28104.87</x:v>
      </x:c>
      <x:c r="G38" s="13" t="str"/>
      <x:c r="H38" s="13" t="n">
        <x:v>23.04</x:v>
      </x:c>
    </x:row>
    <x:row r="39">
      <x:c r="A39" s="10" t="str">
        <x:v>International Retail Chain</x:v>
      </x:c>
      <x:c r="B39" s="12" t="n">
        <x:v>450468.05</x:v>
      </x:c>
      <x:c r="C39" s="12" t="n">
        <x:v>565024.11</x:v>
      </x:c>
      <x:c r="D39" s="12" t="n">
        <x:v>114556.07</x:v>
      </x:c>
      <x:c r="E39" s="13" t="n">
        <x:v>25.43</x:v>
      </x:c>
      <x:c r="F39" s="12" t="n">
        <x:v>27807.97</x:v>
      </x:c>
      <x:c r="G39" s="13" t="n">
        <x:v>14.57</x:v>
      </x:c>
      <x:c r="H39" s="13" t="n">
        <x:v>16.53</x:v>
      </x:c>
    </x:row>
    <x:row r="40">
      <x:c r="A40" s="10" t="str">
        <x:v>Farm &amp; Specialty Market</x:v>
      </x:c>
      <x:c r="B40" s="12" t="n">
        <x:v>130582.59</x:v>
      </x:c>
      <x:c r="C40" s="12" t="n">
        <x:v>201571.41</x:v>
      </x:c>
      <x:c r="D40" s="12" t="n">
        <x:v>70988.82</x:v>
      </x:c>
      <x:c r="E40" s="13" t="n">
        <x:v>54.36</x:v>
      </x:c>
      <x:c r="F40" s="12" t="n">
        <x:v>20900.75</x:v>
      </x:c>
      <x:c r="G40" s="13" t="n">
        <x:v>13.19</x:v>
      </x:c>
      <x:c r="H40" s="13" t="n">
        <x:v>18.91</x:v>
      </x:c>
    </x:row>
    <x:row r="41">
      <x:c r="A41" s="10" t="str">
        <x:v>Institutional Buyer</x:v>
      </x:c>
      <x:c r="B41" s="12" t="n">
        <x:v>38037.8</x:v>
      </x:c>
      <x:c r="C41" s="12" t="n">
        <x:v>93680.74</x:v>
      </x:c>
      <x:c r="D41" s="12" t="n">
        <x:v>55642.94</x:v>
      </x:c>
      <x:c r="E41" s="13" t="n">
        <x:v>146.28</x:v>
      </x:c>
      <x:c r="F41" s="12" t="n">
        <x:v>15801.91</x:v>
      </x:c>
      <x:c r="G41" s="13" t="n">
        <x:v>17.89</x:v>
      </x:c>
      <x:c r="H41" s="13" t="n">
        <x:v>24.13</x:v>
      </x:c>
    </x:row>
    <x:row r="42">
      <x:c r="A42" s="10" t="str">
        <x:v>Franchise Retail Member</x:v>
      </x:c>
      <x:c r="B42" s="12" t="n">
        <x:v>43394.75</x:v>
      </x:c>
      <x:c r="C42" s="12" t="n">
        <x:v>95319.1</x:v>
      </x:c>
      <x:c r="D42" s="12" t="n">
        <x:v>51924.36</x:v>
      </x:c>
      <x:c r="E42" s="13" t="n">
        <x:v>119.66</x:v>
      </x:c>
      <x:c r="F42" s="12" t="n">
        <x:v>14298.13</x:v>
      </x:c>
      <x:c r="G42" s="13" t="n">
        <x:v>15.59</x:v>
      </x:c>
      <x:c r="H42" s="13" t="n">
        <x:v>22.1</x:v>
      </x:c>
    </x:row>
    <x:row r="43">
      <x:c r="A43" s="10" t="str">
        <x:v>Miscellaneous Trade Accounts</x:v>
      </x:c>
      <x:c r="B43" s="12" t="n">
        <x:v>0</x:v>
      </x:c>
      <x:c r="C43" s="12" t="n">
        <x:v>47748.75</x:v>
      </x:c>
      <x:c r="D43" s="12" t="n">
        <x:v>47748.75</x:v>
      </x:c>
      <x:c r="E43" s="13" t="str"/>
      <x:c r="F43" s="12" t="n">
        <x:v>9104.42</x:v>
      </x:c>
      <x:c r="G43" s="13" t="str"/>
      <x:c r="H43" s="13" t="n">
        <x:v>19.07</x:v>
      </x:c>
    </x:row>
    <x:row r="44">
      <x:c r="A44" s="10" t="str">
        <x:v>Midwest Specialty Operator</x:v>
      </x:c>
      <x:c r="B44" s="12" t="n">
        <x:v>0</x:v>
      </x:c>
      <x:c r="C44" s="12" t="n">
        <x:v>30097.27</x:v>
      </x:c>
      <x:c r="D44" s="12" t="n">
        <x:v>30097.27</x:v>
      </x:c>
      <x:c r="E44" s="13" t="str"/>
      <x:c r="F44" s="12" t="n">
        <x:v>6238.43</x:v>
      </x:c>
      <x:c r="G44" s="13" t="str"/>
      <x:c r="H44" s="13" t="n">
        <x:v>20.73</x:v>
      </x:c>
    </x:row>
    <x:row r="45">
      <x:c r="A45" s="10" t="str">
        <x:v>Independent Neighborhood Retailer</x:v>
      </x:c>
      <x:c r="B45" s="12" t="n">
        <x:v>0</x:v>
      </x:c>
      <x:c r="C45" s="12" t="n">
        <x:v>23245.28</x:v>
      </x:c>
      <x:c r="D45" s="12" t="n">
        <x:v>23245.28</x:v>
      </x:c>
      <x:c r="E45" s="13" t="str"/>
      <x:c r="F45" s="12" t="n">
        <x:v>6870.32</x:v>
      </x:c>
      <x:c r="G45" s="13" t="str"/>
      <x:c r="H45" s="13" t="n">
        <x:v>29.56</x:v>
      </x:c>
    </x:row>
    <x:row r="46">
      <x:c r="A46" s="10" t="str">
        <x:v>Unassigned</x:v>
      </x:c>
      <x:c r="B46" s="12" t="n">
        <x:v>426.19</x:v>
      </x:c>
      <x:c r="C46" s="12" t="n">
        <x:v>15757.97</x:v>
      </x:c>
      <x:c r="D46" s="12" t="n">
        <x:v>15331.78</x:v>
      </x:c>
      <x:c r="E46" s="13" t="n">
        <x:v>3597.45</x:v>
      </x:c>
      <x:c r="F46" s="12" t="n">
        <x:v>4532.33</x:v>
      </x:c>
      <x:c r="G46" s="13" t="n">
        <x:v>32.79</x:v>
      </x:c>
      <x:c r="H46" s="13" t="n">
        <x:v>29.65</x:v>
      </x:c>
    </x:row>
    <x:row r="47">
      <x:c r="A47" s="10" t="str">
        <x:v>Specialty Goods Retailer</x:v>
      </x:c>
      <x:c r="B47" s="12" t="n">
        <x:v>211635.44</x:v>
      </x:c>
      <x:c r="C47" s="12" t="n">
        <x:v>218774.65</x:v>
      </x:c>
      <x:c r="D47" s="12" t="n">
        <x:v>7139.2</x:v>
      </x:c>
      <x:c r="E47" s="13" t="n">
        <x:v>3.37</x:v>
      </x:c>
      <x:c r="F47" s="12" t="n">
        <x:v>2272.03</x:v>
      </x:c>
      <x:c r="G47" s="13" t="n">
        <x:v>19.72</x:v>
      </x:c>
      <x:c r="H47" s="13" t="n">
        <x:v>20.12</x:v>
      </x:c>
    </x:row>
    <x:row r="48">
      <x:c r="A48" s="10" t="str">
        <x:v>Unassigned – Legacy</x:v>
      </x:c>
      <x:c r="B48" s="12" t="n">
        <x:v>0</x:v>
      </x:c>
      <x:c r="C48" s="12" t="n">
        <x:v>522.42</x:v>
      </x:c>
      <x:c r="D48" s="12" t="n">
        <x:v>522.42</x:v>
      </x:c>
      <x:c r="E48" s="13" t="str"/>
      <x:c r="F48" s="12" t="n">
        <x:v>137.82</x:v>
      </x:c>
      <x:c r="G48" s="13" t="str"/>
      <x:c r="H48" s="13" t="n">
        <x:v>26.38</x:v>
      </x:c>
    </x:row>
    <x:row r="49">
      <x:c r="A49" s="10" t="str">
        <x:v>National Retail Chains</x:v>
      </x:c>
      <x:c r="B49" s="12" t="n">
        <x:v>2922857.63</x:v>
      </x:c>
      <x:c r="C49" s="12" t="n">
        <x:v>2919563.32</x:v>
      </x:c>
      <x:c r="D49" s="12" t="n">
        <x:v>-3294.31</x:v>
      </x:c>
      <x:c r="E49" s="13" t="n">
        <x:v>-0.11</x:v>
      </x:c>
      <x:c r="F49" s="12" t="n">
        <x:v>132220.48</x:v>
      </x:c>
      <x:c r="G49" s="13" t="n">
        <x:v>18.55</x:v>
      </x:c>
      <x:c r="H49" s="13" t="n">
        <x:v>23.1</x:v>
      </x:c>
    </x:row>
    <x:row r="50">
      <x:c r="A50" s="10" t="str">
        <x:v>Manufacturing Partners</x:v>
      </x:c>
      <x:c r="B50" s="12" t="n">
        <x:v>66939.24</x:v>
      </x:c>
      <x:c r="C50" s="12" t="n">
        <x:v>63365.76</x:v>
      </x:c>
      <x:c r="D50" s="12" t="n">
        <x:v>-3573.48</x:v>
      </x:c>
      <x:c r="E50" s="13" t="n">
        <x:v>-5.34</x:v>
      </x:c>
      <x:c r="F50" s="12" t="n">
        <x:v>-157.65</x:v>
      </x:c>
      <x:c r="G50" s="13" t="n">
        <x:v>20.51</x:v>
      </x:c>
      <x:c r="H50" s="13" t="n">
        <x:v>21.42</x:v>
      </x:c>
    </x:row>
    <x:row r="51">
      <x:c r="A51" s="10" t="str">
        <x:v>Specialty Distribution Partner</x:v>
      </x:c>
      <x:c r="B51" s="12" t="n">
        <x:v>17071.85</x:v>
      </x:c>
      <x:c r="C51" s="12" t="n">
        <x:v>11431.59</x:v>
      </x:c>
      <x:c r="D51" s="12" t="n">
        <x:v>-5640.27</x:v>
      </x:c>
      <x:c r="E51" s="13" t="n">
        <x:v>-33.04</x:v>
      </x:c>
      <x:c r="F51" s="12" t="n">
        <x:v>-1322</x:v>
      </x:c>
      <x:c r="G51" s="13" t="n">
        <x:v>27.66</x:v>
      </x:c>
      <x:c r="H51" s="13" t="n">
        <x:v>29.74</x:v>
      </x:c>
    </x:row>
    <x:row r="52">
      <x:c r="A52" s="10" t="str">
        <x:v>Metropolitan Retail Group</x:v>
      </x:c>
      <x:c r="B52" s="12" t="n">
        <x:v>147472.47</x:v>
      </x:c>
      <x:c r="C52" s="12" t="n">
        <x:v>138357.1</x:v>
      </x:c>
      <x:c r="D52" s="12" t="n">
        <x:v>-9115.37</x:v>
      </x:c>
      <x:c r="E52" s="13" t="n">
        <x:v>-6.18</x:v>
      </x:c>
      <x:c r="F52" s="12" t="n">
        <x:v>8762.2</x:v>
      </x:c>
      <x:c r="G52" s="13" t="n">
        <x:v>17.82</x:v>
      </x:c>
      <x:c r="H52" s="13" t="n">
        <x:v>25.33</x:v>
      </x:c>
    </x:row>
    <x:row r="53">
      <x:c r="A53" s="10" t="str">
        <x:v>High-Volume Distribution Partner</x:v>
      </x:c>
      <x:c r="B53" s="12" t="n">
        <x:v>27434.96</x:v>
      </x:c>
      <x:c r="C53" s="12" t="n">
        <x:v>15002.7</x:v>
      </x:c>
      <x:c r="D53" s="12" t="n">
        <x:v>-12432.26</x:v>
      </x:c>
      <x:c r="E53" s="13" t="n">
        <x:v>-45.32</x:v>
      </x:c>
      <x:c r="F53" s="12" t="n">
        <x:v>-1618.18</x:v>
      </x:c>
      <x:c r="G53" s="13" t="n">
        <x:v>18.56</x:v>
      </x:c>
      <x:c r="H53" s="13" t="n">
        <x:v>23.15</x:v>
      </x:c>
    </x:row>
    <x:row r="54">
      <x:c r="A54" s="10" t="str">
        <x:v>Inactive / Closed Accounts</x:v>
      </x:c>
      <x:c r="B54" s="12" t="n">
        <x:v>46403.37</x:v>
      </x:c>
      <x:c r="C54" s="12" t="n">
        <x:v>31868.47</x:v>
      </x:c>
      <x:c r="D54" s="12" t="n">
        <x:v>-14534.9</x:v>
      </x:c>
      <x:c r="E54" s="13" t="n">
        <x:v>-31.32</x:v>
      </x:c>
      <x:c r="F54" s="12" t="n">
        <x:v>857.38</x:v>
      </x:c>
      <x:c r="G54" s="13" t="n">
        <x:v>17.15</x:v>
      </x:c>
      <x:c r="H54" s="13" t="n">
        <x:v>27.66</x:v>
      </x:c>
    </x:row>
    <x:row r="55">
      <x:c r="A55" s="10" t="str">
        <x:v>Premium Specialty Operator</x:v>
      </x:c>
      <x:c r="B55" s="12" t="n">
        <x:v>893686.12</x:v>
      </x:c>
      <x:c r="C55" s="12" t="n">
        <x:v>873161.04</x:v>
      </x:c>
      <x:c r="D55" s="12" t="n">
        <x:v>-20525.08</x:v>
      </x:c>
      <x:c r="E55" s="13" t="n">
        <x:v>-2.3</x:v>
      </x:c>
      <x:c r="F55" s="12" t="n">
        <x:v>18643.18</x:v>
      </x:c>
      <x:c r="G55" s="13" t="n">
        <x:v>17.29</x:v>
      </x:c>
      <x:c r="H55" s="13" t="n">
        <x:v>19.83</x:v>
      </x:c>
    </x:row>
    <x:row r="56">
      <x:c r="A56" s="10" t="str">
        <x:v>Legacy Customer</x:v>
      </x:c>
      <x:c r="B56" s="12" t="n">
        <x:v>63788.98</x:v>
      </x:c>
      <x:c r="C56" s="12" t="n">
        <x:v>0</x:v>
      </x:c>
      <x:c r="D56" s="12" t="n">
        <x:v>-63788.98</x:v>
      </x:c>
      <x:c r="E56" s="13" t="n">
        <x:v>-100</x:v>
      </x:c>
      <x:c r="F56" s="12" t="n">
        <x:v>-13537.93</x:v>
      </x:c>
      <x:c r="G56" s="13" t="n">
        <x:v>21.22</x:v>
      </x:c>
      <x:c r="H56" s="13" t="str"/>
    </x:row>
    <x:row r="57">
      <x:c r="A57" s="10" t="str">
        <x:v>Corporate Retail Group</x:v>
      </x:c>
      <x:c r="B57" s="12" t="n">
        <x:v>90221.48</x:v>
      </x:c>
      <x:c r="C57" s="12" t="n">
        <x:v>0</x:v>
      </x:c>
      <x:c r="D57" s="12" t="n">
        <x:v>-90221.48</x:v>
      </x:c>
      <x:c r="E57" s="13" t="n">
        <x:v>-100</x:v>
      </x:c>
      <x:c r="F57" s="12" t="n">
        <x:v>-20257.42</x:v>
      </x:c>
      <x:c r="G57" s="13" t="n">
        <x:v>22.45</x:v>
      </x:c>
      <x:c r="H57" s="13" t="str"/>
    </x:row>
    <x:row r="58">
      <x:c r="A58" s="10" t="str">
        <x:v>Cooperative Member Account</x:v>
      </x:c>
      <x:c r="B58" s="12" t="n">
        <x:v>248172.04</x:v>
      </x:c>
      <x:c r="C58" s="12" t="n">
        <x:v>143434.84</x:v>
      </x:c>
      <x:c r="D58" s="12" t="n">
        <x:v>-104737.19</x:v>
      </x:c>
      <x:c r="E58" s="13" t="n">
        <x:v>-42.2</x:v>
      </x:c>
      <x:c r="F58" s="12" t="n">
        <x:v>-14076.15</x:v>
      </x:c>
      <x:c r="G58" s="13" t="n">
        <x:v>20.19</x:v>
      </x:c>
      <x:c r="H58" s="13" t="n">
        <x:v>25.11</x:v>
      </x:c>
    </x:row>
    <x:row r="59">
      <x:c r="A59" s="10" t="str">
        <x:v>International Specialty Retailer</x:v>
      </x:c>
      <x:c r="B59" s="12" t="n">
        <x:v>117606.36</x:v>
      </x:c>
      <x:c r="C59" s="12" t="n">
        <x:v>0</x:v>
      </x:c>
      <x:c r="D59" s="12" t="n">
        <x:v>-117606.36</x:v>
      </x:c>
      <x:c r="E59" s="13" t="n">
        <x:v>-100</x:v>
      </x:c>
      <x:c r="F59" s="12" t="n">
        <x:v>-30673.2</x:v>
      </x:c>
      <x:c r="G59" s="13" t="n">
        <x:v>26.08</x:v>
      </x:c>
      <x:c r="H59" s="13" t="str"/>
    </x:row>
    <x:row r="60">
      <x:c r="A60" s="10" t="str">
        <x:v>Specialty Retail – Small Format</x:v>
      </x:c>
      <x:c r="B60" s="12" t="n">
        <x:v>205957.04</x:v>
      </x:c>
      <x:c r="C60" s="12" t="n">
        <x:v>74642.38</x:v>
      </x:c>
      <x:c r="D60" s="12" t="n">
        <x:v>-131314.66</x:v>
      </x:c>
      <x:c r="E60" s="13" t="n">
        <x:v>-63.76</x:v>
      </x:c>
      <x:c r="F60" s="12" t="n">
        <x:v>-28562.02</x:v>
      </x:c>
      <x:c r="G60" s="13" t="n">
        <x:v>23.22</x:v>
      </x:c>
      <x:c r="H60" s="13" t="n">
        <x:v>25.79</x:v>
      </x:c>
    </x:row>
    <x:row r="61">
      <x:c r="A61" s="10" t="str">
        <x:v>Urban Boutique Retailer</x:v>
      </x:c>
      <x:c r="B61" s="12" t="n">
        <x:v>179398.39</x:v>
      </x:c>
      <x:c r="C61" s="12" t="n">
        <x:v>0</x:v>
      </x:c>
      <x:c r="D61" s="12" t="n">
        <x:v>-179398.39</x:v>
      </x:c>
      <x:c r="E61" s="13" t="n">
        <x:v>-100</x:v>
      </x:c>
      <x:c r="F61" s="12" t="n">
        <x:v>-25555.27</x:v>
      </x:c>
      <x:c r="G61" s="13" t="n">
        <x:v>14.24</x:v>
      </x:c>
      <x:c r="H61" s="13" t="str"/>
    </x:row>
    <x:row r="62">
      <x:c r="A62" s="10" t="str">
        <x:v>High-End Urban Retailer</x:v>
      </x:c>
      <x:c r="B62" s="12" t="n">
        <x:v>972531.46</x:v>
      </x:c>
      <x:c r="C62" s="12" t="n">
        <x:v>729269.33</x:v>
      </x:c>
      <x:c r="D62" s="12" t="n">
        <x:v>-243262.14</x:v>
      </x:c>
      <x:c r="E62" s="13" t="n">
        <x:v>-25.01</x:v>
      </x:c>
      <x:c r="F62" s="12" t="n">
        <x:v>-3979.93</x:v>
      </x:c>
      <x:c r="G62" s="13" t="n">
        <x:v>14.57</x:v>
      </x:c>
      <x:c r="H62" s="13" t="n">
        <x:v>18.88</x:v>
      </x:c>
    </x:row>
    <x:row r="63">
      <x:c r="A63" s="10" t="str">
        <x:v>Commercial Supply Partners</x:v>
      </x:c>
      <x:c r="B63" s="12" t="n">
        <x:v>1194480.43</x:v>
      </x:c>
      <x:c r="C63" s="12" t="n">
        <x:v>866400.85</x:v>
      </x:c>
      <x:c r="D63" s="12" t="n">
        <x:v>-328079.58</x:v>
      </x:c>
      <x:c r="E63" s="13" t="n">
        <x:v>-27.47</x:v>
      </x:c>
      <x:c r="F63" s="12" t="n">
        <x:v>-26393.98</x:v>
      </x:c>
      <x:c r="G63" s="13" t="n">
        <x:v>14.33</x:v>
      </x:c>
      <x:c r="H63" s="13" t="n">
        <x:v>16.71</x:v>
      </x:c>
    </x:row>
    <x:row r="64">
      <x:c r="A64" s="10" t="str">
        <x:v>Premium Specialty Retailer</x:v>
      </x:c>
      <x:c r="B64" s="12" t="n">
        <x:v>1082222.91</x:v>
      </x:c>
      <x:c r="C64" s="12" t="n">
        <x:v>698296.17</x:v>
      </x:c>
      <x:c r="D64" s="12" t="n">
        <x:v>-383926.74</x:v>
      </x:c>
      <x:c r="E64" s="13" t="n">
        <x:v>-35.48</x:v>
      </x:c>
      <x:c r="F64" s="12" t="n">
        <x:v>-39957.88</x:v>
      </x:c>
      <x:c r="G64" s="13" t="n">
        <x:v>16.98</x:v>
      </x:c>
      <x:c r="H64" s="13" t="n">
        <x:v>20.59</x:v>
      </x:c>
    </x:row>
    <x:row r="65">
      <x:c r="A65" s="10" t="str">
        <x:v>Import Distribution Partner</x:v>
      </x:c>
      <x:c r="B65" s="12" t="n">
        <x:v>1162245</x:v>
      </x:c>
      <x:c r="C65" s="12" t="n">
        <x:v>738971.5</x:v>
      </x:c>
      <x:c r="D65" s="12" t="n">
        <x:v>-423273.51</x:v>
      </x:c>
      <x:c r="E65" s="13" t="n">
        <x:v>-36.42</x:v>
      </x:c>
      <x:c r="F65" s="12" t="n">
        <x:v>-24555.3</x:v>
      </x:c>
      <x:c r="G65" s="13" t="n">
        <x:v>12.76</x:v>
      </x:c>
      <x:c r="H65" s="13" t="n">
        <x:v>16.75</x:v>
      </x:c>
    </x:row>
    <x:row r="66">
      <x:c r="A66" s="10" t="str">
        <x:v>Regional Retail Chain – Tier 1</x:v>
      </x:c>
      <x:c r="B66" s="12" t="n">
        <x:v>1299533.02</x:v>
      </x:c>
      <x:c r="C66" s="12" t="n">
        <x:v>0</x:v>
      </x:c>
      <x:c r="D66" s="12" t="n">
        <x:v>-1299533.02</x:v>
      </x:c>
      <x:c r="E66" s="13" t="n">
        <x:v>-100</x:v>
      </x:c>
      <x:c r="F66" s="12" t="n">
        <x:v>-215221.74</x:v>
      </x:c>
      <x:c r="G66" s="13" t="n">
        <x:v>16.56</x:v>
      </x:c>
      <x:c r="H66" s="13" t="str"/>
    </x:row>
    <x:row r="67">
      <x:c r="A67" s="10" t="str">
        <x:v>Mid-Size Retail Chain</x:v>
      </x:c>
      <x:c r="B67" s="12" t="n">
        <x:v>1360284.02</x:v>
      </x:c>
      <x:c r="C67" s="12" t="n">
        <x:v>0</x:v>
      </x:c>
      <x:c r="D67" s="12" t="n">
        <x:v>-1360284.02</x:v>
      </x:c>
      <x:c r="E67" s="13" t="n">
        <x:v>-100</x:v>
      </x:c>
      <x:c r="F67" s="12" t="n">
        <x:v>-211455.35</x:v>
      </x:c>
      <x:c r="G67" s="13" t="n">
        <x:v>15.54</x:v>
      </x:c>
      <x:c r="H67" s="13" t="str"/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33df7295fccb412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2" hidden="0" customWidth="1"/>
    <x:col min="3" max="3" width="18" hidden="0" customWidth="1"/>
    <x:col min="4" max="4" width="16" hidden="0" customWidth="1"/>
    <x:col min="5" max="5" width="20" hidden="0" customWidth="1"/>
    <x:col min="6" max="6" width="10" hidden="0" customWidth="1"/>
  </x:cols>
  <x:sheetData>
    <x:row r="1" ht="30" customHeight="1">
      <x:c r="A1" s="3" t="str">
        <x:v>Supporting Detail | Segment Concentration</x:v>
      </x:c>
      <x:c r="B1" s="3" t="str">
        <x:v>Supporting Detail | Segment Concentration</x:v>
      </x:c>
      <x:c r="C1" s="3" t="str">
        <x:v>Supporting Detail | Segment Concentration</x:v>
      </x:c>
      <x:c r="D1" s="3" t="str">
        <x:v>Supporting Detail | Segment Concentration</x:v>
      </x:c>
      <x:c r="E1" s="3" t="str">
        <x:v>Supporting Detail | Segment Concentration</x:v>
      </x:c>
      <x:c r="F1" s="3" t="str">
        <x:v>Supporting Detail | Segment Concentration</x:v>
      </x:c>
    </x:row>
    <x:row r="2" ht="24" customHeight="1">
      <x:c r="A2" s="6" t="str">
        <x:v>Segment-level concentration measures used in Question 2.</x:v>
      </x:c>
      <x:c r="B2" s="6" t="str">
        <x:v>Segment-level concentration measures used in Question 2.</x:v>
      </x:c>
      <x:c r="C2" s="6" t="str">
        <x:v>Segment-level concentration measures used in Question 2.</x:v>
      </x:c>
      <x:c r="D2" s="6" t="str">
        <x:v>Segment-level concentration measures used in Question 2.</x:v>
      </x:c>
      <x:c r="E2" s="6" t="str">
        <x:v>Segment-level concentration measures used in Question 2.</x:v>
      </x:c>
      <x:c r="F2" s="6" t="str">
        <x:v>Segment-level concentration measures used in Question 2.</x:v>
      </x:c>
    </x:row>
    <x:row r="4" ht="28" customHeight="1">
      <x:c r="A4" s="10" t="str">
        <x:v>Customer segment</x:v>
      </x:c>
      <x:c r="B4" s="10" t="str">
        <x:v>Customers</x:v>
      </x:c>
      <x:c r="C4" s="10" t="str">
        <x:v>Revenue</x:v>
      </x:c>
      <x:c r="D4" s="10" t="str">
        <x:v>Revenue share</x:v>
      </x:c>
      <x:c r="E4" s="10" t="str">
        <x:v>Cumulative revenue</x:v>
      </x:c>
      <x:c r="F4" s="10" t="str">
        <x:v>Rank</x:v>
      </x:c>
    </x:row>
    <x:row r="5">
      <x:c r="A5" s="10" t="str">
        <x:v>Independent Retail Accounts</x:v>
      </x:c>
      <x:c r="B5" s="11" t="n">
        <x:v>1663</x:v>
      </x:c>
      <x:c r="C5" s="12" t="n">
        <x:v>353140177.88</x:v>
      </x:c>
      <x:c r="D5" s="13" t="n">
        <x:v>48.7478</x:v>
      </x:c>
      <x:c r="E5" s="13" t="n">
        <x:v>48.7478</x:v>
      </x:c>
      <x:c r="F5" s="11" t="n">
        <x:v>1</x:v>
      </x:c>
    </x:row>
    <x:row r="6">
      <x:c r="A6" s="10" t="str">
        <x:v>Wholesale Trade Accounts</x:v>
      </x:c>
      <x:c r="B6" s="11" t="n">
        <x:v>365</x:v>
      </x:c>
      <x:c r="C6" s="12" t="n">
        <x:v>102318681.7</x:v>
      </x:c>
      <x:c r="D6" s="13" t="n">
        <x:v>14.1242</x:v>
      </x:c>
      <x:c r="E6" s="13" t="n">
        <x:v>62.8719</x:v>
      </x:c>
      <x:c r="F6" s="11" t="n">
        <x:v>2</x:v>
      </x:c>
    </x:row>
    <x:row r="7">
      <x:c r="A7" s="10" t="str">
        <x:v>Commercial Service Accounts</x:v>
      </x:c>
      <x:c r="B7" s="11" t="n">
        <x:v>465</x:v>
      </x:c>
      <x:c r="C7" s="12" t="n">
        <x:v>43124288.42</x:v>
      </x:c>
      <x:c r="D7" s="13" t="n">
        <x:v>5.9529</x:v>
      </x:c>
      <x:c r="E7" s="13" t="n">
        <x:v>68.8248</x:v>
      </x:c>
      <x:c r="F7" s="11" t="n">
        <x:v>3</x:v>
      </x:c>
    </x:row>
    <x:row r="8">
      <x:c r="A8" s="10" t="str">
        <x:v>Regional Retail Chain – Tier 2</x:v>
      </x:c>
      <x:c r="B8" s="11" t="n">
        <x:v>18</x:v>
      </x:c>
      <x:c r="C8" s="12" t="n">
        <x:v>29970666.86</x:v>
      </x:c>
      <x:c r="D8" s="13" t="n">
        <x:v>4.1372</x:v>
      </x:c>
      <x:c r="E8" s="13" t="n">
        <x:v>72.962</x:v>
      </x:c>
      <x:c r="F8" s="11" t="n">
        <x:v>4</x:v>
      </x:c>
    </x:row>
    <x:row r="9">
      <x:c r="A9" s="10" t="str">
        <x:v>National Retail Chains</x:v>
      </x:c>
      <x:c r="B9" s="11" t="n">
        <x:v>115</x:v>
      </x:c>
      <x:c r="C9" s="12" t="n">
        <x:v>21360862.49</x:v>
      </x:c>
      <x:c r="D9" s="13" t="n">
        <x:v>2.9487</x:v>
      </x:c>
      <x:c r="E9" s="13" t="n">
        <x:v>75.9107</x:v>
      </x:c>
      <x:c r="F9" s="11" t="n">
        <x:v>5</x:v>
      </x:c>
    </x:row>
    <x:row r="10">
      <x:c r="A10" s="10" t="str">
        <x:v>Retail Cooperative Network</x:v>
      </x:c>
      <x:c r="B10" s="11" t="n">
        <x:v>106</x:v>
      </x:c>
      <x:c r="C10" s="12" t="n">
        <x:v>15915531.46</x:v>
      </x:c>
      <x:c r="D10" s="13" t="n">
        <x:v>2.197</x:v>
      </x:c>
      <x:c r="E10" s="13" t="n">
        <x:v>78.1077</x:v>
      </x:c>
      <x:c r="F10" s="11" t="n">
        <x:v>6</x:v>
      </x:c>
    </x:row>
    <x:row r="11">
      <x:c r="A11" s="10" t="str">
        <x:v>Suburban Retail Chain</x:v>
      </x:c>
      <x:c r="B11" s="11" t="n">
        <x:v>9</x:v>
      </x:c>
      <x:c r="C11" s="12" t="n">
        <x:v>15749424.85</x:v>
      </x:c>
      <x:c r="D11" s="13" t="n">
        <x:v>2.1741</x:v>
      </x:c>
      <x:c r="E11" s="13" t="n">
        <x:v>80.2817</x:v>
      </x:c>
      <x:c r="F11" s="11" t="n">
        <x:v>7</x:v>
      </x:c>
    </x:row>
    <x:row r="12">
      <x:c r="A12" s="10" t="str">
        <x:v>Regional Retail Chain – Tier 3</x:v>
      </x:c>
      <x:c r="B12" s="11" t="n">
        <x:v>15</x:v>
      </x:c>
      <x:c r="C12" s="12" t="n">
        <x:v>14535478.67</x:v>
      </x:c>
      <x:c r="D12" s="13" t="n">
        <x:v>2.0065</x:v>
      </x:c>
      <x:c r="E12" s="13" t="n">
        <x:v>82.2882</x:v>
      </x:c>
      <x:c r="F12" s="11" t="n">
        <x:v>8</x:v>
      </x:c>
    </x:row>
    <x:row r="13">
      <x:c r="A13" s="10" t="str">
        <x:v>Multi-Location Retail Group – Premium Tier</x:v>
      </x:c>
      <x:c r="B13" s="11" t="n">
        <x:v>33</x:v>
      </x:c>
      <x:c r="C13" s="12" t="n">
        <x:v>9146888.63</x:v>
      </x:c>
      <x:c r="D13" s="13" t="n">
        <x:v>1.2626</x:v>
      </x:c>
      <x:c r="E13" s="13" t="n">
        <x:v>83.5509</x:v>
      </x:c>
      <x:c r="F13" s="11" t="n">
        <x:v>9</x:v>
      </x:c>
    </x:row>
    <x:row r="14">
      <x:c r="A14" s="10" t="str">
        <x:v>Commercial Supply Partners</x:v>
      </x:c>
      <x:c r="B14" s="11" t="n">
        <x:v>15</x:v>
      </x:c>
      <x:c r="C14" s="12" t="n">
        <x:v>7371384.56</x:v>
      </x:c>
      <x:c r="D14" s="13" t="n">
        <x:v>1.0176</x:v>
      </x:c>
      <x:c r="E14" s="13" t="n">
        <x:v>84.5684</x:v>
      </x:c>
      <x:c r="F14" s="11" t="n">
        <x:v>10</x:v>
      </x:c>
    </x:row>
    <x:row r="15">
      <x:c r="A15" s="10" t="str">
        <x:v>Import Distribution Partner</x:v>
      </x:c>
      <x:c r="B15" s="11" t="n">
        <x:v>1</x:v>
      </x:c>
      <x:c r="C15" s="12" t="n">
        <x:v>7275125.35</x:v>
      </x:c>
      <x:c r="D15" s="13" t="n">
        <x:v>1.0043</x:v>
      </x:c>
      <x:c r="E15" s="13" t="n">
        <x:v>85.5727</x:v>
      </x:c>
      <x:c r="F15" s="11" t="n">
        <x:v>11</x:v>
      </x:c>
    </x:row>
    <x:row r="16">
      <x:c r="A16" s="10" t="str">
        <x:v>Regional Multi-Unit Retail Chain</x:v>
      </x:c>
      <x:c r="B16" s="11" t="n">
        <x:v>5</x:v>
      </x:c>
      <x:c r="C16" s="12" t="n">
        <x:v>7240597.7</x:v>
      </x:c>
      <x:c r="D16" s="13" t="n">
        <x:v>0.9995</x:v>
      </x:c>
      <x:c r="E16" s="13" t="n">
        <x:v>86.5722</x:v>
      </x:c>
      <x:c r="F16" s="11" t="n">
        <x:v>12</x:v>
      </x:c>
    </x:row>
    <x:row r="17">
      <x:c r="A17" s="10" t="str">
        <x:v>Premium Specialty Retailer</x:v>
      </x:c>
      <x:c r="B17" s="11" t="n">
        <x:v>4</x:v>
      </x:c>
      <x:c r="C17" s="12" t="n">
        <x:v>7146454.35</x:v>
      </x:c>
      <x:c r="D17" s="13" t="n">
        <x:v>0.9865</x:v>
      </x:c>
      <x:c r="E17" s="13" t="n">
        <x:v>87.5587</x:v>
      </x:c>
      <x:c r="F17" s="11" t="n">
        <x:v>13</x:v>
      </x:c>
    </x:row>
    <x:row r="18">
      <x:c r="A18" s="10" t="str">
        <x:v>Niche Specialty Retailer</x:v>
      </x:c>
      <x:c r="B18" s="11" t="n">
        <x:v>4</x:v>
      </x:c>
      <x:c r="C18" s="12" t="n">
        <x:v>6578110.77</x:v>
      </x:c>
      <x:c r="D18" s="13" t="n">
        <x:v>0.908</x:v>
      </x:c>
      <x:c r="E18" s="13" t="n">
        <x:v>88.4667</x:v>
      </x:c>
      <x:c r="F18" s="11" t="n">
        <x:v>14</x:v>
      </x:c>
    </x:row>
    <x:row r="19">
      <x:c r="A19" s="10" t="str">
        <x:v>Premium Specialty Operator</x:v>
      </x:c>
      <x:c r="B19" s="11" t="n">
        <x:v>6</x:v>
      </x:c>
      <x:c r="C19" s="12" t="n">
        <x:v>5962857.74</x:v>
      </x:c>
      <x:c r="D19" s="13" t="n">
        <x:v>0.8231</x:v>
      </x:c>
      <x:c r="E19" s="13" t="n">
        <x:v>89.2899</x:v>
      </x:c>
      <x:c r="F19" s="11" t="n">
        <x:v>15</x:v>
      </x:c>
    </x:row>
    <x:row r="20">
      <x:c r="A20" s="10" t="str">
        <x:v>Family-Owned Retail Business</x:v>
      </x:c>
      <x:c r="B20" s="11" t="n">
        <x:v>5</x:v>
      </x:c>
      <x:c r="C20" s="12" t="n">
        <x:v>5661920.63</x:v>
      </x:c>
      <x:c r="D20" s="13" t="n">
        <x:v>0.7816</x:v>
      </x:c>
      <x:c r="E20" s="13" t="n">
        <x:v>90.0714</x:v>
      </x:c>
      <x:c r="F20" s="11" t="n">
        <x:v>16</x:v>
      </x:c>
    </x:row>
    <x:row r="21">
      <x:c r="A21" s="10" t="str">
        <x:v>Discount Retail Chain</x:v>
      </x:c>
      <x:c r="B21" s="11" t="n">
        <x:v>34</x:v>
      </x:c>
      <x:c r="C21" s="12" t="n">
        <x:v>5343073.9</x:v>
      </x:c>
      <x:c r="D21" s="13" t="n">
        <x:v>0.7376</x:v>
      </x:c>
      <x:c r="E21" s="13" t="n">
        <x:v>90.809</x:v>
      </x:c>
      <x:c r="F21" s="11" t="n">
        <x:v>17</x:v>
      </x:c>
    </x:row>
    <x:row r="22">
      <x:c r="A22" s="10" t="str">
        <x:v>Independent Distribution Partner</x:v>
      </x:c>
      <x:c r="B22" s="11" t="n">
        <x:v>10</x:v>
      </x:c>
      <x:c r="C22" s="12" t="n">
        <x:v>5087891.8</x:v>
      </x:c>
      <x:c r="D22" s="13" t="n">
        <x:v>0.7023</x:v>
      </x:c>
      <x:c r="E22" s="13" t="n">
        <x:v>91.5113</x:v>
      </x:c>
      <x:c r="F22" s="11" t="n">
        <x:v>18</x:v>
      </x:c>
    </x:row>
    <x:row r="23">
      <x:c r="A23" s="10" t="str">
        <x:v>Cooperative Retail Affiliate</x:v>
      </x:c>
      <x:c r="B23" s="11" t="n">
        <x:v>4</x:v>
      </x:c>
      <x:c r="C23" s="12" t="n">
        <x:v>4937000.78</x:v>
      </x:c>
      <x:c r="D23" s="13" t="n">
        <x:v>0.6815</x:v>
      </x:c>
      <x:c r="E23" s="13" t="n">
        <x:v>92.1928</x:v>
      </x:c>
      <x:c r="F23" s="11" t="n">
        <x:v>19</x:v>
      </x:c>
    </x:row>
    <x:row r="24">
      <x:c r="A24" s="10" t="str">
        <x:v>High-End Urban Retailer</x:v>
      </x:c>
      <x:c r="B24" s="11" t="n">
        <x:v>2</x:v>
      </x:c>
      <x:c r="C24" s="12" t="n">
        <x:v>4697085.43</x:v>
      </x:c>
      <x:c r="D24" s="13" t="n">
        <x:v>0.6484</x:v>
      </x:c>
      <x:c r="E24" s="13" t="n">
        <x:v>92.8412</x:v>
      </x:c>
      <x:c r="F24" s="11" t="n">
        <x:v>20</x:v>
      </x:c>
    </x:row>
    <x:row r="25">
      <x:c r="A25" s="10" t="str">
        <x:v>Regional Specialty Market</x:v>
      </x:c>
      <x:c r="B25" s="11" t="n">
        <x:v>13</x:v>
      </x:c>
      <x:c r="C25" s="12" t="n">
        <x:v>4484414.44</x:v>
      </x:c>
      <x:c r="D25" s="13" t="n">
        <x:v>0.619</x:v>
      </x:c>
      <x:c r="E25" s="13" t="n">
        <x:v>93.4603</x:v>
      </x:c>
      <x:c r="F25" s="11" t="n">
        <x:v>21</x:v>
      </x:c>
    </x:row>
    <x:row r="26">
      <x:c r="A26" s="10" t="str">
        <x:v>Neighborhood Retail Group</x:v>
      </x:c>
      <x:c r="B26" s="11" t="n">
        <x:v>11</x:v>
      </x:c>
      <x:c r="C26" s="12" t="n">
        <x:v>3695985.63</x:v>
      </x:c>
      <x:c r="D26" s="13" t="n">
        <x:v>0.5102</x:v>
      </x:c>
      <x:c r="E26" s="13" t="n">
        <x:v>93.9705</x:v>
      </x:c>
      <x:c r="F26" s="11" t="n">
        <x:v>22</x:v>
      </x:c>
    </x:row>
    <x:row r="27">
      <x:c r="A27" s="10" t="str">
        <x:v>International Retail Chain</x:v>
      </x:c>
      <x:c r="B27" s="11" t="n">
        <x:v>2</x:v>
      </x:c>
      <x:c r="C27" s="12" t="n">
        <x:v>3403626.6</x:v>
      </x:c>
      <x:c r="D27" s="13" t="n">
        <x:v>0.4698</x:v>
      </x:c>
      <x:c r="E27" s="13" t="n">
        <x:v>94.4403</x:v>
      </x:c>
      <x:c r="F27" s="11" t="n">
        <x:v>23</x:v>
      </x:c>
    </x:row>
    <x:row r="28">
      <x:c r="A28" s="10" t="str">
        <x:v>Mid-Size Retail Chain</x:v>
      </x:c>
      <x:c r="B28" s="11" t="n">
        <x:v>30</x:v>
      </x:c>
      <x:c r="C28" s="12" t="n">
        <x:v>3345911.89</x:v>
      </x:c>
      <x:c r="D28" s="13" t="n">
        <x:v>0.4619</x:v>
      </x:c>
      <x:c r="E28" s="13" t="n">
        <x:v>94.9022</x:v>
      </x:c>
      <x:c r="F28" s="11" t="n">
        <x:v>24</x:v>
      </x:c>
    </x:row>
    <x:row r="29">
      <x:c r="A29" s="10" t="str">
        <x:v>Regional Specialty Retailer</x:v>
      </x:c>
      <x:c r="B29" s="11" t="n">
        <x:v>5</x:v>
      </x:c>
      <x:c r="C29" s="12" t="n">
        <x:v>3237656.49</x:v>
      </x:c>
      <x:c r="D29" s="13" t="n">
        <x:v>0.4469</x:v>
      </x:c>
      <x:c r="E29" s="13" t="n">
        <x:v>95.3491</x:v>
      </x:c>
      <x:c r="F29" s="11" t="n">
        <x:v>25</x:v>
      </x:c>
    </x:row>
    <x:row r="30">
      <x:c r="A30" s="10" t="str">
        <x:v>Urban Independent Retailer</x:v>
      </x:c>
      <x:c r="B30" s="11" t="n">
        <x:v>6</x:v>
      </x:c>
      <x:c r="C30" s="12" t="n">
        <x:v>3104253.35</x:v>
      </x:c>
      <x:c r="D30" s="13" t="n">
        <x:v>0.4285</x:v>
      </x:c>
      <x:c r="E30" s="13" t="n">
        <x:v>95.7776</x:v>
      </x:c>
      <x:c r="F30" s="11" t="n">
        <x:v>26</x:v>
      </x:c>
    </x:row>
    <x:row r="31">
      <x:c r="A31" s="10" t="str">
        <x:v>Regional Retail Chain – Tier 1</x:v>
      </x:c>
      <x:c r="B31" s="11" t="n">
        <x:v>17</x:v>
      </x:c>
      <x:c r="C31" s="12" t="n">
        <x:v>2869139.73</x:v>
      </x:c>
      <x:c r="D31" s="13" t="n">
        <x:v>0.3961</x:v>
      </x:c>
      <x:c r="E31" s="13" t="n">
        <x:v>96.1737</x:v>
      </x:c>
      <x:c r="F31" s="11" t="n">
        <x:v>27</x:v>
      </x:c>
    </x:row>
    <x:row r="32">
      <x:c r="A32" s="10" t="str">
        <x:v>Value-Oriented Retail Chain</x:v>
      </x:c>
      <x:c r="B32" s="11" t="n">
        <x:v>27</x:v>
      </x:c>
      <x:c r="C32" s="12" t="n">
        <x:v>2363099.44</x:v>
      </x:c>
      <x:c r="D32" s="13" t="n">
        <x:v>0.3262</x:v>
      </x:c>
      <x:c r="E32" s="13" t="n">
        <x:v>96.4999</x:v>
      </x:c>
      <x:c r="F32" s="11" t="n">
        <x:v>28</x:v>
      </x:c>
    </x:row>
    <x:row r="33">
      <x:c r="A33" s="10" t="str">
        <x:v>Suburban Independent Retailer</x:v>
      </x:c>
      <x:c r="B33" s="11" t="n">
        <x:v>5</x:v>
      </x:c>
      <x:c r="C33" s="12" t="n">
        <x:v>2149081.55</x:v>
      </x:c>
      <x:c r="D33" s="13" t="n">
        <x:v>0.2967</x:v>
      </x:c>
      <x:c r="E33" s="13" t="n">
        <x:v>96.7965</x:v>
      </x:c>
      <x:c r="F33" s="11" t="n">
        <x:v>29</x:v>
      </x:c>
    </x:row>
    <x:row r="34">
      <x:c r="A34" s="10" t="str">
        <x:v>Regional Retail Affiliate</x:v>
      </x:c>
      <x:c r="B34" s="11" t="n">
        <x:v>1</x:v>
      </x:c>
      <x:c r="C34" s="12" t="n">
        <x:v>2061966.55</x:v>
      </x:c>
      <x:c r="D34" s="13" t="n">
        <x:v>0.2846</x:v>
      </x:c>
      <x:c r="E34" s="13" t="n">
        <x:v>97.0812</x:v>
      </x:c>
      <x:c r="F34" s="11" t="n">
        <x:v>30</x:v>
      </x:c>
    </x:row>
    <x:row r="35">
      <x:c r="A35" s="10" t="str">
        <x:v>International Specialty Retailer</x:v>
      </x:c>
      <x:c r="B35" s="11" t="n">
        <x:v>2</x:v>
      </x:c>
      <x:c r="C35" s="12" t="n">
        <x:v>1857690.54</x:v>
      </x:c>
      <x:c r="D35" s="13" t="n">
        <x:v>0.2564</x:v>
      </x:c>
      <x:c r="E35" s="13" t="n">
        <x:v>97.3376</x:v>
      </x:c>
      <x:c r="F35" s="11" t="n">
        <x:v>31</x:v>
      </x:c>
    </x:row>
    <x:row r="36">
      <x:c r="A36" s="10" t="str">
        <x:v>Specialty Goods Retailer</x:v>
      </x:c>
      <x:c r="B36" s="11" t="n">
        <x:v>1</x:v>
      </x:c>
      <x:c r="C36" s="12" t="n">
        <x:v>1574927.65</x:v>
      </x:c>
      <x:c r="D36" s="13" t="n">
        <x:v>0.2174</x:v>
      </x:c>
      <x:c r="E36" s="13" t="n">
        <x:v>97.555</x:v>
      </x:c>
      <x:c r="F36" s="11" t="n">
        <x:v>32</x:v>
      </x:c>
    </x:row>
    <x:row r="37">
      <x:c r="A37" s="10" t="str">
        <x:v>Regional Multi-Unit Operator</x:v>
      </x:c>
      <x:c r="B37" s="11" t="n">
        <x:v>17</x:v>
      </x:c>
      <x:c r="C37" s="12" t="n">
        <x:v>1277993.16</x:v>
      </x:c>
      <x:c r="D37" s="13" t="n">
        <x:v>0.1764</x:v>
      </x:c>
      <x:c r="E37" s="13" t="n">
        <x:v>97.7314</x:v>
      </x:c>
      <x:c r="F37" s="11" t="n">
        <x:v>33</x:v>
      </x:c>
    </x:row>
    <x:row r="38">
      <x:c r="A38" s="10" t="str">
        <x:v>Village Retail Operator</x:v>
      </x:c>
      <x:c r="B38" s="11" t="n">
        <x:v>15</x:v>
      </x:c>
      <x:c r="C38" s="12" t="n">
        <x:v>1249581.84</x:v>
      </x:c>
      <x:c r="D38" s="13" t="n">
        <x:v>0.1725</x:v>
      </x:c>
      <x:c r="E38" s="13" t="n">
        <x:v>97.9039</x:v>
      </x:c>
      <x:c r="F38" s="11" t="n">
        <x:v>34</x:v>
      </x:c>
    </x:row>
    <x:row r="39">
      <x:c r="A39" s="10" t="str">
        <x:v>Farm &amp; Specialty Market</x:v>
      </x:c>
      <x:c r="B39" s="11" t="n">
        <x:v>1</x:v>
      </x:c>
      <x:c r="C39" s="12" t="n">
        <x:v>1154527.22</x:v>
      </x:c>
      <x:c r="D39" s="13" t="n">
        <x:v>0.1594</x:v>
      </x:c>
      <x:c r="E39" s="13" t="n">
        <x:v>98.0633</x:v>
      </x:c>
      <x:c r="F39" s="11" t="n">
        <x:v>35</x:v>
      </x:c>
    </x:row>
    <x:row r="40">
      <x:c r="A40" s="10" t="str">
        <x:v>Metropolitan Retail Group</x:v>
      </x:c>
      <x:c r="B40" s="11" t="n">
        <x:v>6</x:v>
      </x:c>
      <x:c r="C40" s="12" t="n">
        <x:v>1113771.97</x:v>
      </x:c>
      <x:c r="D40" s="13" t="n">
        <x:v>0.1537</x:v>
      </x:c>
      <x:c r="E40" s="13" t="n">
        <x:v>98.217</x:v>
      </x:c>
      <x:c r="F40" s="11" t="n">
        <x:v>36</x:v>
      </x:c>
    </x:row>
    <x:row r="41">
      <x:c r="A41" s="10" t="str">
        <x:v>Cooperative Member Account</x:v>
      </x:c>
      <x:c r="B41" s="11" t="n">
        <x:v>9</x:v>
      </x:c>
      <x:c r="C41" s="12" t="n">
        <x:v>1033030.15</x:v>
      </x:c>
      <x:c r="D41" s="13" t="n">
        <x:v>0.1426</x:v>
      </x:c>
      <x:c r="E41" s="13" t="n">
        <x:v>98.3596</x:v>
      </x:c>
      <x:c r="F41" s="11" t="n">
        <x:v>37</x:v>
      </x:c>
    </x:row>
    <x:row r="42">
      <x:c r="A42" s="10" t="str">
        <x:v>Specialty Retail – Small Format</x:v>
      </x:c>
      <x:c r="B42" s="11" t="n">
        <x:v>25</x:v>
      </x:c>
      <x:c r="C42" s="12" t="n">
        <x:v>1012865.76</x:v>
      </x:c>
      <x:c r="D42" s="13" t="n">
        <x:v>0.1398</x:v>
      </x:c>
      <x:c r="E42" s="13" t="n">
        <x:v>98.4995</x:v>
      </x:c>
      <x:c r="F42" s="11" t="n">
        <x:v>38</x:v>
      </x:c>
    </x:row>
    <x:row r="43">
      <x:c r="A43" s="10" t="str">
        <x:v>Event &amp; Promotional Accounts</x:v>
      </x:c>
      <x:c r="B43" s="11" t="n">
        <x:v>8</x:v>
      </x:c>
      <x:c r="C43" s="12" t="n">
        <x:v>971103.35</x:v>
      </x:c>
      <x:c r="D43" s="13" t="n">
        <x:v>0.1341</x:v>
      </x:c>
      <x:c r="E43" s="13" t="n">
        <x:v>98.6335</x:v>
      </x:c>
      <x:c r="F43" s="11" t="n">
        <x:v>39</x:v>
      </x:c>
    </x:row>
    <x:row r="44">
      <x:c r="A44" s="10" t="str">
        <x:v>Large Regional Retail Chain</x:v>
      </x:c>
      <x:c r="B44" s="11" t="n">
        <x:v>12</x:v>
      </x:c>
      <x:c r="C44" s="12" t="n">
        <x:v>919618.29</x:v>
      </x:c>
      <x:c r="D44" s="13" t="n">
        <x:v>0.1269</x:v>
      </x:c>
      <x:c r="E44" s="13" t="n">
        <x:v>98.7605</x:v>
      </x:c>
      <x:c r="F44" s="11" t="n">
        <x:v>40</x:v>
      </x:c>
    </x:row>
    <x:row r="45">
      <x:c r="A45" s="10" t="str">
        <x:v>Specialty Beverage Retailer</x:v>
      </x:c>
      <x:c r="B45" s="11" t="n">
        <x:v>12</x:v>
      </x:c>
      <x:c r="C45" s="12" t="n">
        <x:v>809854.32</x:v>
      </x:c>
      <x:c r="D45" s="13" t="n">
        <x:v>0.1118</x:v>
      </x:c>
      <x:c r="E45" s="13" t="n">
        <x:v>98.8723</x:v>
      </x:c>
      <x:c r="F45" s="11" t="n">
        <x:v>41</x:v>
      </x:c>
    </x:row>
    <x:row r="46">
      <x:c r="A46" s="10" t="str">
        <x:v>Commercial Supply Vendor</x:v>
      </x:c>
      <x:c r="B46" s="11" t="n">
        <x:v>1</x:v>
      </x:c>
      <x:c r="C46" s="12" t="n">
        <x:v>792457.42</x:v>
      </x:c>
      <x:c r="D46" s="13" t="n">
        <x:v>0.1094</x:v>
      </x:c>
      <x:c r="E46" s="13" t="n">
        <x:v>98.9816</x:v>
      </x:c>
      <x:c r="F46" s="11" t="n">
        <x:v>42</x:v>
      </x:c>
    </x:row>
    <x:row r="47">
      <x:c r="A47" s="10" t="str">
        <x:v>Destination Retail Location</x:v>
      </x:c>
      <x:c r="B47" s="11" t="n">
        <x:v>8</x:v>
      </x:c>
      <x:c r="C47" s="12" t="n">
        <x:v>775403.37</x:v>
      </x:c>
      <x:c r="D47" s="13" t="n">
        <x:v>0.107</x:v>
      </x:c>
      <x:c r="E47" s="13" t="n">
        <x:v>99.0887</x:v>
      </x:c>
      <x:c r="F47" s="11" t="n">
        <x:v>43</x:v>
      </x:c>
    </x:row>
    <x:row r="48">
      <x:c r="A48" s="10" t="str">
        <x:v>Import Marketplace Partner</x:v>
      </x:c>
      <x:c r="B48" s="11" t="n">
        <x:v>2</x:v>
      </x:c>
      <x:c r="C48" s="12" t="n">
        <x:v>706163.08</x:v>
      </x:c>
      <x:c r="D48" s="13" t="n">
        <x:v>0.0975</x:v>
      </x:c>
      <x:c r="E48" s="13" t="n">
        <x:v>99.1862</x:v>
      </x:c>
      <x:c r="F48" s="11" t="n">
        <x:v>44</x:v>
      </x:c>
    </x:row>
    <x:row r="49">
      <x:c r="A49" s="10" t="str">
        <x:v>Manufacturing Partners</x:v>
      </x:c>
      <x:c r="B49" s="11" t="n">
        <x:v>18</x:v>
      </x:c>
      <x:c r="C49" s="12" t="n">
        <x:v>696976.82</x:v>
      </x:c>
      <x:c r="D49" s="13" t="n">
        <x:v>0.0962</x:v>
      </x:c>
      <x:c r="E49" s="13" t="n">
        <x:v>99.2824</x:v>
      </x:c>
      <x:c r="F49" s="11" t="n">
        <x:v>45</x:v>
      </x:c>
    </x:row>
    <x:row r="50">
      <x:c r="A50" s="10" t="str">
        <x:v>Wine &amp; Spirits Retailer</x:v>
      </x:c>
      <x:c r="B50" s="11" t="n">
        <x:v>4</x:v>
      </x:c>
      <x:c r="C50" s="12" t="n">
        <x:v>541469.86</x:v>
      </x:c>
      <x:c r="D50" s="13" t="n">
        <x:v>0.0747</x:v>
      </x:c>
      <x:c r="E50" s="13" t="n">
        <x:v>99.3571</x:v>
      </x:c>
      <x:c r="F50" s="11" t="n">
        <x:v>46</x:v>
      </x:c>
    </x:row>
    <x:row r="51">
      <x:c r="A51" s="10" t="str">
        <x:v>National Retail Affiliate</x:v>
      </x:c>
      <x:c r="B51" s="11" t="n">
        <x:v>8</x:v>
      </x:c>
      <x:c r="C51" s="12" t="n">
        <x:v>533909.42</x:v>
      </x:c>
      <x:c r="D51" s="13" t="n">
        <x:v>0.0737</x:v>
      </x:c>
      <x:c r="E51" s="13" t="n">
        <x:v>99.4308</x:v>
      </x:c>
      <x:c r="F51" s="11" t="n">
        <x:v>47</x:v>
      </x:c>
    </x:row>
    <x:row r="52">
      <x:c r="A52" s="10" t="str">
        <x:v>Boutique Retail Operator</x:v>
      </x:c>
      <x:c r="B52" s="11" t="n">
        <x:v>2</x:v>
      </x:c>
      <x:c r="C52" s="12" t="n">
        <x:v>502991.19</x:v>
      </x:c>
      <x:c r="D52" s="13" t="n">
        <x:v>0.0694</x:v>
      </x:c>
      <x:c r="E52" s="13" t="n">
        <x:v>99.5002</x:v>
      </x:c>
      <x:c r="F52" s="11" t="n">
        <x:v>48</x:v>
      </x:c>
    </x:row>
    <x:row r="53">
      <x:c r="A53" s="10" t="str">
        <x:v>Institutional Buyer</x:v>
      </x:c>
      <x:c r="B53" s="11" t="n">
        <x:v>4</x:v>
      </x:c>
      <x:c r="C53" s="12" t="n">
        <x:v>473483.57</x:v>
      </x:c>
      <x:c r="D53" s="13" t="n">
        <x:v>0.0654</x:v>
      </x:c>
      <x:c r="E53" s="13" t="n">
        <x:v>99.5656</x:v>
      </x:c>
      <x:c r="F53" s="11" t="n">
        <x:v>49</x:v>
      </x:c>
    </x:row>
    <x:row r="54">
      <x:c r="A54" s="10" t="str">
        <x:v>Legacy Customer</x:v>
      </x:c>
      <x:c r="B54" s="11" t="n">
        <x:v>1</x:v>
      </x:c>
      <x:c r="C54" s="12" t="n">
        <x:v>463251.08</x:v>
      </x:c>
      <x:c r="D54" s="13" t="n">
        <x:v>0.0639</x:v>
      </x:c>
      <x:c r="E54" s="13" t="n">
        <x:v>99.6296</x:v>
      </x:c>
      <x:c r="F54" s="11" t="n">
        <x:v>50</x:v>
      </x:c>
    </x:row>
    <x:row r="55">
      <x:c r="A55" s="10" t="str">
        <x:v>Urban Boutique Retailer</x:v>
      </x:c>
      <x:c r="B55" s="11" t="n">
        <x:v>5</x:v>
      </x:c>
      <x:c r="C55" s="12" t="n">
        <x:v>338972.77</x:v>
      </x:c>
      <x:c r="D55" s="13" t="n">
        <x:v>0.0468</x:v>
      </x:c>
      <x:c r="E55" s="13" t="n">
        <x:v>99.6763</x:v>
      </x:c>
      <x:c r="F55" s="11" t="n">
        <x:v>51</x:v>
      </x:c>
    </x:row>
    <x:row r="56">
      <x:c r="A56" s="10" t="str">
        <x:v>Franchise Retail Member</x:v>
      </x:c>
      <x:c r="B56" s="11" t="n">
        <x:v>3</x:v>
      </x:c>
      <x:c r="C56" s="12" t="n">
        <x:v>313946.26</x:v>
      </x:c>
      <x:c r="D56" s="13" t="n">
        <x:v>0.0433</x:v>
      </x:c>
      <x:c r="E56" s="13" t="n">
        <x:v>99.7197</x:v>
      </x:c>
      <x:c r="F56" s="11" t="n">
        <x:v>52</x:v>
      </x:c>
    </x:row>
    <x:row r="57">
      <x:c r="A57" s="10" t="str">
        <x:v>Inactive / Closed Accounts</x:v>
      </x:c>
      <x:c r="B57" s="11" t="n">
        <x:v>10</x:v>
      </x:c>
      <x:c r="C57" s="12" t="n">
        <x:v>312852.08</x:v>
      </x:c>
      <x:c r="D57" s="13" t="n">
        <x:v>0.0432</x:v>
      </x:c>
      <x:c r="E57" s="13" t="n">
        <x:v>99.7629</x:v>
      </x:c>
      <x:c r="F57" s="11" t="n">
        <x:v>53</x:v>
      </x:c>
    </x:row>
    <x:row r="58">
      <x:c r="A58" s="10" t="str">
        <x:v>Direct-to-Consumer Channel</x:v>
      </x:c>
      <x:c r="B58" s="11" t="n">
        <x:v>32</x:v>
      </x:c>
      <x:c r="C58" s="12" t="n">
        <x:v>307560.26</x:v>
      </x:c>
      <x:c r="D58" s="13" t="n">
        <x:v>0.0425</x:v>
      </x:c>
      <x:c r="E58" s="13" t="n">
        <x:v>99.8053</x:v>
      </x:c>
      <x:c r="F58" s="11" t="n">
        <x:v>54</x:v>
      </x:c>
    </x:row>
    <x:row r="59">
      <x:c r="A59" s="10" t="str">
        <x:v>Corporate Retail Group</x:v>
      </x:c>
      <x:c r="B59" s="11" t="n">
        <x:v>29</x:v>
      </x:c>
      <x:c r="C59" s="12" t="n">
        <x:v>281526.08</x:v>
      </x:c>
      <x:c r="D59" s="13" t="n">
        <x:v>0.0389</x:v>
      </x:c>
      <x:c r="E59" s="13" t="n">
        <x:v>99.8442</x:v>
      </x:c>
      <x:c r="F59" s="11" t="n">
        <x:v>55</x:v>
      </x:c>
    </x:row>
    <x:row r="60">
      <x:c r="A60" s="10" t="str">
        <x:v>Convenience Retail Group</x:v>
      </x:c>
      <x:c r="B60" s="11" t="n">
        <x:v>5</x:v>
      </x:c>
      <x:c r="C60" s="12" t="n">
        <x:v>275677.68</x:v>
      </x:c>
      <x:c r="D60" s="13" t="n">
        <x:v>0.0381</x:v>
      </x:c>
      <x:c r="E60" s="13" t="n">
        <x:v>99.8822</x:v>
      </x:c>
      <x:c r="F60" s="11" t="n">
        <x:v>56</x:v>
      </x:c>
    </x:row>
    <x:row r="61">
      <x:c r="A61" s="10" t="str">
        <x:v>National Retail Affiliate – Secondary</x:v>
      </x:c>
      <x:c r="B61" s="11" t="n">
        <x:v>4</x:v>
      </x:c>
      <x:c r="C61" s="12" t="n">
        <x:v>250449.99</x:v>
      </x:c>
      <x:c r="D61" s="13" t="n">
        <x:v>0.0346</x:v>
      </x:c>
      <x:c r="E61" s="13" t="n">
        <x:v>99.9168</x:v>
      </x:c>
      <x:c r="F61" s="11" t="n">
        <x:v>57</x:v>
      </x:c>
    </x:row>
    <x:row r="62">
      <x:c r="A62" s="10" t="str">
        <x:v>High-Volume Distribution Partner</x:v>
      </x:c>
      <x:c r="B62" s="11" t="n">
        <x:v>2</x:v>
      </x:c>
      <x:c r="C62" s="12" t="n">
        <x:v>191448.08</x:v>
      </x:c>
      <x:c r="D62" s="13" t="n">
        <x:v>0.0264</x:v>
      </x:c>
      <x:c r="E62" s="13" t="n">
        <x:v>99.9432</x:v>
      </x:c>
      <x:c r="F62" s="11" t="n">
        <x:v>58</x:v>
      </x:c>
    </x:row>
    <x:row r="63">
      <x:c r="A63" s="10" t="str">
        <x:v>Miscellaneous Trade Accounts</x:v>
      </x:c>
      <x:c r="B63" s="11" t="n">
        <x:v>1</x:v>
      </x:c>
      <x:c r="C63" s="12" t="n">
        <x:v>154905.67</x:v>
      </x:c>
      <x:c r="D63" s="13" t="n">
        <x:v>0.0214</x:v>
      </x:c>
      <x:c r="E63" s="13" t="n">
        <x:v>99.9646</x:v>
      </x:c>
      <x:c r="F63" s="11" t="n">
        <x:v>59</x:v>
      </x:c>
    </x:row>
    <x:row r="64">
      <x:c r="A64" s="10" t="str">
        <x:v>Specialty Distribution Partner</x:v>
      </x:c>
      <x:c r="B64" s="11" t="n">
        <x:v>1</x:v>
      </x:c>
      <x:c r="C64" s="12" t="n">
        <x:v>142503.71</x:v>
      </x:c>
      <x:c r="D64" s="13" t="n">
        <x:v>0.0197</x:v>
      </x:c>
      <x:c r="E64" s="13" t="n">
        <x:v>99.9843</x:v>
      </x:c>
      <x:c r="F64" s="11" t="n">
        <x:v>60</x:v>
      </x:c>
    </x:row>
    <x:row r="65">
      <x:c r="A65" s="10" t="str">
        <x:v>Unassigned</x:v>
      </x:c>
      <x:c r="B65" s="11" t="n">
        <x:v>16</x:v>
      </x:c>
      <x:c r="C65" s="12" t="n">
        <x:v>59751.37</x:v>
      </x:c>
      <x:c r="D65" s="13" t="n">
        <x:v>0.0082</x:v>
      </x:c>
      <x:c r="E65" s="13" t="n">
        <x:v>99.9925</x:v>
      </x:c>
      <x:c r="F65" s="11" t="n">
        <x:v>61</x:v>
      </x:c>
    </x:row>
    <x:row r="66">
      <x:c r="A66" s="10" t="str">
        <x:v>Midwest Specialty Operator</x:v>
      </x:c>
      <x:c r="B66" s="11" t="n">
        <x:v>1</x:v>
      </x:c>
      <x:c r="C66" s="12" t="n">
        <x:v>30097.27</x:v>
      </x:c>
      <x:c r="D66" s="13" t="n">
        <x:v>0.0042</x:v>
      </x:c>
      <x:c r="E66" s="13" t="n">
        <x:v>99.9967</x:v>
      </x:c>
      <x:c r="F66" s="11" t="n">
        <x:v>62</x:v>
      </x:c>
    </x:row>
    <x:row r="67">
      <x:c r="A67" s="10" t="str">
        <x:v>Independent Neighborhood Retailer</x:v>
      </x:c>
      <x:c r="B67" s="11" t="n">
        <x:v>4</x:v>
      </x:c>
      <x:c r="C67" s="12" t="n">
        <x:v>23245.28</x:v>
      </x:c>
      <x:c r="D67" s="13" t="n">
        <x:v>0.0032</x:v>
      </x:c>
      <x:c r="E67" s="13" t="n">
        <x:v>99.9999</x:v>
      </x:c>
      <x:c r="F67" s="11" t="n">
        <x:v>63</x:v>
      </x:c>
    </x:row>
    <x:row r="68">
      <x:c r="A68" s="10" t="str">
        <x:v>Unassigned – Legacy</x:v>
      </x:c>
      <x:c r="B68" s="11" t="n">
        <x:v>1</x:v>
      </x:c>
      <x:c r="C68" s="12" t="n">
        <x:v>640.54</x:v>
      </x:c>
      <x:c r="D68" s="13" t="n">
        <x:v>0.0001</x:v>
      </x:c>
      <x:c r="E68" s="13" t="n">
        <x:v>100</x:v>
      </x:c>
      <x:c r="F68" s="11" t="n">
        <x:v>64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abff000e3920435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2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20" hidden="0" customWidth="1"/>
    <x:col min="8" max="8" width="18" hidden="0" customWidth="1"/>
  </x:cols>
  <x:sheetData>
    <x:row r="1" ht="30" customHeight="1">
      <x:c r="A1" s="3" t="str">
        <x:v>Supporting Detail | Retention by Segment</x:v>
      </x:c>
      <x:c r="B1" s="3" t="str">
        <x:v>Supporting Detail | Retention by Segment</x:v>
      </x:c>
      <x:c r="C1" s="3" t="str">
        <x:v>Supporting Detail | Retention by Segment</x:v>
      </x:c>
      <x:c r="D1" s="3" t="str">
        <x:v>Supporting Detail | Retention by Segment</x:v>
      </x:c>
      <x:c r="E1" s="3" t="str">
        <x:v>Supporting Detail | Retention by Segment</x:v>
      </x:c>
      <x:c r="F1" s="3" t="str">
        <x:v>Supporting Detail | Retention by Segment</x:v>
      </x:c>
      <x:c r="G1" s="3" t="str">
        <x:v>Supporting Detail | Retention by Segment</x:v>
      </x:c>
      <x:c r="H1" s="3" t="str">
        <x:v>Supporting Detail | Retention by Segment</x:v>
      </x:c>
    </x:row>
    <x:row r="2" ht="24" customHeight="1">
      <x:c r="A2" s="6" t="str">
        <x:v>Segment-level inactivity measures used in Question 3.</x:v>
      </x:c>
      <x:c r="B2" s="6" t="str">
        <x:v>Segment-level inactivity measures used in Question 3.</x:v>
      </x:c>
      <x:c r="C2" s="6" t="str">
        <x:v>Segment-level inactivity measures used in Question 3.</x:v>
      </x:c>
      <x:c r="D2" s="6" t="str">
        <x:v>Segment-level inactivity measures used in Question 3.</x:v>
      </x:c>
      <x:c r="E2" s="6" t="str">
        <x:v>Segment-level inactivity measures used in Question 3.</x:v>
      </x:c>
      <x:c r="F2" s="6" t="str">
        <x:v>Segment-level inactivity measures used in Question 3.</x:v>
      </x:c>
      <x:c r="G2" s="6" t="str">
        <x:v>Segment-level inactivity measures used in Question 3.</x:v>
      </x:c>
      <x:c r="H2" s="6" t="str">
        <x:v>Segment-level inactivity measures used in Question 3.</x:v>
      </x:c>
    </x:row>
    <x:row r="4" ht="28" customHeight="1">
      <x:c r="A4" s="10" t="str">
        <x:v>Customer segment</x:v>
      </x:c>
      <x:c r="B4" s="10" t="str">
        <x:v>Customers</x:v>
      </x:c>
      <x:c r="C4" s="10" t="str">
        <x:v>Active</x:v>
      </x:c>
      <x:c r="D4" s="10" t="str">
        <x:v>Watch</x:v>
      </x:c>
      <x:c r="E4" s="10" t="str">
        <x:v>At risk</x:v>
      </x:c>
      <x:c r="F4" s="10" t="str">
        <x:v>Dormant</x:v>
      </x:c>
      <x:c r="G4" s="10" t="str">
        <x:v>Risky customer share</x:v>
      </x:c>
      <x:c r="H4" s="10" t="str">
        <x:v>Revenue at risk</x:v>
      </x:c>
    </x:row>
    <x:row r="5">
      <x:c r="A5" s="10" t="str">
        <x:v>Independent Retail Accounts</x:v>
      </x:c>
      <x:c r="B5" s="11" t="n">
        <x:v>1634</x:v>
      </x:c>
      <x:c r="C5" s="11" t="n">
        <x:v>867</x:v>
      </x:c>
      <x:c r="D5" s="11" t="n">
        <x:v>40</x:v>
      </x:c>
      <x:c r="E5" s="11" t="n">
        <x:v>81</x:v>
      </x:c>
      <x:c r="F5" s="11" t="n">
        <x:v>646</x:v>
      </x:c>
      <x:c r="G5" s="13" t="n">
        <x:v>46.94</x:v>
      </x:c>
      <x:c r="H5" s="12" t="n">
        <x:v>9843836.39</x:v>
      </x:c>
    </x:row>
    <x:row r="6">
      <x:c r="A6" s="10" t="str">
        <x:v>Commercial Service Accounts</x:v>
      </x:c>
      <x:c r="B6" s="11" t="n">
        <x:v>464</x:v>
      </x:c>
      <x:c r="C6" s="11" t="n">
        <x:v>174</x:v>
      </x:c>
      <x:c r="D6" s="11" t="n">
        <x:v>24</x:v>
      </x:c>
      <x:c r="E6" s="11" t="n">
        <x:v>31</x:v>
      </x:c>
      <x:c r="F6" s="11" t="n">
        <x:v>235</x:v>
      </x:c>
      <x:c r="G6" s="13" t="n">
        <x:v>62.5</x:v>
      </x:c>
      <x:c r="H6" s="12" t="n">
        <x:v>3475443.63</x:v>
      </x:c>
    </x:row>
    <x:row r="7">
      <x:c r="A7" s="10" t="str">
        <x:v>Wholesale Trade Accounts</x:v>
      </x:c>
      <x:c r="B7" s="11" t="n">
        <x:v>357</x:v>
      </x:c>
      <x:c r="C7" s="11" t="n">
        <x:v>195</x:v>
      </x:c>
      <x:c r="D7" s="11" t="n">
        <x:v>11</x:v>
      </x:c>
      <x:c r="E7" s="11" t="n">
        <x:v>23</x:v>
      </x:c>
      <x:c r="F7" s="11" t="n">
        <x:v>128</x:v>
      </x:c>
      <x:c r="G7" s="13" t="n">
        <x:v>45.38</x:v>
      </x:c>
      <x:c r="H7" s="12" t="n">
        <x:v>2650396.12</x:v>
      </x:c>
    </x:row>
    <x:row r="8">
      <x:c r="A8" s="10" t="str">
        <x:v>Mid-Size Retail Chain</x:v>
      </x:c>
      <x:c r="B8" s="11" t="n">
        <x:v>30</x:v>
      </x:c>
      <x:c r="C8" s="11" t="n">
        <x:v>0</x:v>
      </x:c>
      <x:c r="D8" s="11" t="n">
        <x:v>0</x:v>
      </x:c>
      <x:c r="E8" s="11" t="n">
        <x:v>0</x:v>
      </x:c>
      <x:c r="F8" s="11" t="n">
        <x:v>30</x:v>
      </x:c>
      <x:c r="G8" s="13" t="n">
        <x:v>100</x:v>
      </x:c>
      <x:c r="H8" s="12" t="n">
        <x:v>1481781.63</x:v>
      </x:c>
    </x:row>
    <x:row r="9">
      <x:c r="A9" s="10" t="str">
        <x:v>Regional Retail Chain – Tier 1</x:v>
      </x:c>
      <x:c r="B9" s="11" t="n">
        <x:v>16</x:v>
      </x:c>
      <x:c r="C9" s="11" t="n">
        <x:v>0</x:v>
      </x:c>
      <x:c r="D9" s="11" t="n">
        <x:v>0</x:v>
      </x:c>
      <x:c r="E9" s="11" t="n">
        <x:v>0</x:v>
      </x:c>
      <x:c r="F9" s="11" t="n">
        <x:v>16</x:v>
      </x:c>
      <x:c r="G9" s="13" t="n">
        <x:v>100</x:v>
      </x:c>
      <x:c r="H9" s="12" t="n">
        <x:v>992975.91</x:v>
      </x:c>
    </x:row>
    <x:row r="10">
      <x:c r="A10" s="10" t="str">
        <x:v>National Retail Chains</x:v>
      </x:c>
      <x:c r="B10" s="11" t="n">
        <x:v>107</x:v>
      </x:c>
      <x:c r="C10" s="11" t="n">
        <x:v>44</x:v>
      </x:c>
      <x:c r="D10" s="11" t="n">
        <x:v>9</x:v>
      </x:c>
      <x:c r="E10" s="11" t="n">
        <x:v>10</x:v>
      </x:c>
      <x:c r="F10" s="11" t="n">
        <x:v>44</x:v>
      </x:c>
      <x:c r="G10" s="13" t="n">
        <x:v>58.88</x:v>
      </x:c>
      <x:c r="H10" s="12" t="n">
        <x:v>908120.45</x:v>
      </x:c>
    </x:row>
    <x:row r="11">
      <x:c r="A11" s="10" t="str">
        <x:v>Commercial Supply Partners</x:v>
      </x:c>
      <x:c r="B11" s="11" t="n">
        <x:v>15</x:v>
      </x:c>
      <x:c r="C11" s="11" t="n">
        <x:v>7</x:v>
      </x:c>
      <x:c r="D11" s="11" t="n">
        <x:v>1</x:v>
      </x:c>
      <x:c r="E11" s="11" t="n">
        <x:v>1</x:v>
      </x:c>
      <x:c r="F11" s="11" t="n">
        <x:v>6</x:v>
      </x:c>
      <x:c r="G11" s="13" t="n">
        <x:v>53.33</x:v>
      </x:c>
      <x:c r="H11" s="12" t="n">
        <x:v>731968.21</x:v>
      </x:c>
    </x:row>
    <x:row r="12">
      <x:c r="A12" s="10" t="str">
        <x:v>Regional Retail Chain – Tier 3</x:v>
      </x:c>
      <x:c r="B12" s="11" t="n">
        <x:v>15</x:v>
      </x:c>
      <x:c r="C12" s="11" t="n">
        <x:v>11</x:v>
      </x:c>
      <x:c r="D12" s="11" t="n">
        <x:v>0</x:v>
      </x:c>
      <x:c r="E12" s="11" t="n">
        <x:v>0</x:v>
      </x:c>
      <x:c r="F12" s="11" t="n">
        <x:v>4</x:v>
      </x:c>
      <x:c r="G12" s="13" t="n">
        <x:v>26.67</x:v>
      </x:c>
      <x:c r="H12" s="12" t="n">
        <x:v>375003.37</x:v>
      </x:c>
    </x:row>
    <x:row r="13">
      <x:c r="A13" s="10" t="str">
        <x:v>Regional Retail Chain – Tier 2</x:v>
      </x:c>
      <x:c r="B13" s="11" t="n">
        <x:v>18</x:v>
      </x:c>
      <x:c r="C13" s="11" t="n">
        <x:v>13</x:v>
      </x:c>
      <x:c r="D13" s="11" t="n">
        <x:v>0</x:v>
      </x:c>
      <x:c r="E13" s="11" t="n">
        <x:v>2</x:v>
      </x:c>
      <x:c r="F13" s="11" t="n">
        <x:v>3</x:v>
      </x:c>
      <x:c r="G13" s="13" t="n">
        <x:v>27.78</x:v>
      </x:c>
      <x:c r="H13" s="12" t="n">
        <x:v>342393.25</x:v>
      </x:c>
    </x:row>
    <x:row r="14">
      <x:c r="A14" s="10" t="str">
        <x:v>International Specialty Retailer</x:v>
      </x:c>
      <x:c r="B14" s="11" t="n">
        <x:v>2</x:v>
      </x:c>
      <x:c r="C14" s="11" t="n">
        <x:v>0</x:v>
      </x:c>
      <x:c r="D14" s="11" t="n">
        <x:v>0</x:v>
      </x:c>
      <x:c r="E14" s="11" t="n">
        <x:v>0</x:v>
      </x:c>
      <x:c r="F14" s="11" t="n">
        <x:v>2</x:v>
      </x:c>
      <x:c r="G14" s="13" t="n">
        <x:v>100</x:v>
      </x:c>
      <x:c r="H14" s="12" t="n">
        <x:v>319372.09</x:v>
      </x:c>
    </x:row>
    <x:row r="15">
      <x:c r="A15" s="10" t="str">
        <x:v>Direct-to-Consumer Channel</x:v>
      </x:c>
      <x:c r="B15" s="11" t="n">
        <x:v>32</x:v>
      </x:c>
      <x:c r="C15" s="11" t="n">
        <x:v>0</x:v>
      </x:c>
      <x:c r="D15" s="11" t="n">
        <x:v>0</x:v>
      </x:c>
      <x:c r="E15" s="11" t="n">
        <x:v>0</x:v>
      </x:c>
      <x:c r="F15" s="11" t="n">
        <x:v>32</x:v>
      </x:c>
      <x:c r="G15" s="13" t="n">
        <x:v>100</x:v>
      </x:c>
      <x:c r="H15" s="12" t="n">
        <x:v>307560.26</x:v>
      </x:c>
    </x:row>
    <x:row r="16">
      <x:c r="A16" s="10" t="str">
        <x:v>Premium Specialty Retailer</x:v>
      </x:c>
      <x:c r="B16" s="11" t="n">
        <x:v>3</x:v>
      </x:c>
      <x:c r="C16" s="11" t="n">
        <x:v>2</x:v>
      </x:c>
      <x:c r="D16" s="11" t="n">
        <x:v>0</x:v>
      </x:c>
      <x:c r="E16" s="11" t="n">
        <x:v>0</x:v>
      </x:c>
      <x:c r="F16" s="11" t="n">
        <x:v>1</x:v>
      </x:c>
      <x:c r="G16" s="13" t="n">
        <x:v>33.33</x:v>
      </x:c>
      <x:c r="H16" s="12" t="n">
        <x:v>278544.09</x:v>
      </x:c>
    </x:row>
    <x:row r="17">
      <x:c r="A17" s="10" t="str">
        <x:v>Retail Cooperative Network</x:v>
      </x:c>
      <x:c r="B17" s="11" t="n">
        <x:v>100</x:v>
      </x:c>
      <x:c r="C17" s="11" t="n">
        <x:v>74</x:v>
      </x:c>
      <x:c r="D17" s="11" t="n">
        <x:v>4</x:v>
      </x:c>
      <x:c r="E17" s="11" t="n">
        <x:v>9</x:v>
      </x:c>
      <x:c r="F17" s="11" t="n">
        <x:v>13</x:v>
      </x:c>
      <x:c r="G17" s="13" t="n">
        <x:v>26</x:v>
      </x:c>
      <x:c r="H17" s="12" t="n">
        <x:v>259864.43</x:v>
      </x:c>
    </x:row>
    <x:row r="18">
      <x:c r="A18" s="10" t="str">
        <x:v>Urban Boutique Retailer</x:v>
      </x:c>
      <x:c r="B18" s="11" t="n">
        <x:v>5</x:v>
      </x:c>
      <x:c r="C18" s="11" t="n">
        <x:v>0</x:v>
      </x:c>
      <x:c r="D18" s="11" t="n">
        <x:v>0</x:v>
      </x:c>
      <x:c r="E18" s="11" t="n">
        <x:v>0</x:v>
      </x:c>
      <x:c r="F18" s="11" t="n">
        <x:v>5</x:v>
      </x:c>
      <x:c r="G18" s="13" t="n">
        <x:v>100</x:v>
      </x:c>
      <x:c r="H18" s="12" t="n">
        <x:v>258801.78</x:v>
      </x:c>
    </x:row>
    <x:row r="19">
      <x:c r="A19" s="10" t="str">
        <x:v>Discount Retail Chain</x:v>
      </x:c>
      <x:c r="B19" s="11" t="n">
        <x:v>34</x:v>
      </x:c>
      <x:c r="C19" s="11" t="n">
        <x:v>13</x:v>
      </x:c>
      <x:c r="D19" s="11" t="n">
        <x:v>1</x:v>
      </x:c>
      <x:c r="E19" s="11" t="n">
        <x:v>0</x:v>
      </x:c>
      <x:c r="F19" s="11" t="n">
        <x:v>20</x:v>
      </x:c>
      <x:c r="G19" s="13" t="n">
        <x:v>61.76</x:v>
      </x:c>
      <x:c r="H19" s="12" t="n">
        <x:v>147865.05</x:v>
      </x:c>
    </x:row>
    <x:row r="20">
      <x:c r="A20" s="10" t="str">
        <x:v>Value-Oriented Retail Chain</x:v>
      </x:c>
      <x:c r="B20" s="11" t="n">
        <x:v>27</x:v>
      </x:c>
      <x:c r="C20" s="11" t="n">
        <x:v>20</x:v>
      </x:c>
      <x:c r="D20" s="11" t="n">
        <x:v>0</x:v>
      </x:c>
      <x:c r="E20" s="11" t="n">
        <x:v>2</x:v>
      </x:c>
      <x:c r="F20" s="11" t="n">
        <x:v>5</x:v>
      </x:c>
      <x:c r="G20" s="13" t="n">
        <x:v>25.93</x:v>
      </x:c>
      <x:c r="H20" s="12" t="n">
        <x:v>121117.82</x:v>
      </x:c>
    </x:row>
    <x:row r="21">
      <x:c r="A21" s="10" t="str">
        <x:v>Inactive / Closed Accounts</x:v>
      </x:c>
      <x:c r="B21" s="11" t="n">
        <x:v>10</x:v>
      </x:c>
      <x:c r="C21" s="11" t="n">
        <x:v>1</x:v>
      </x:c>
      <x:c r="D21" s="11" t="n">
        <x:v>0</x:v>
      </x:c>
      <x:c r="E21" s="11" t="n">
        <x:v>0</x:v>
      </x:c>
      <x:c r="F21" s="11" t="n">
        <x:v>9</x:v>
      </x:c>
      <x:c r="G21" s="13" t="n">
        <x:v>90</x:v>
      </x:c>
      <x:c r="H21" s="12" t="n">
        <x:v>92628.22</x:v>
      </x:c>
    </x:row>
    <x:row r="22">
      <x:c r="A22" s="10" t="str">
        <x:v>Corporate Retail Group</x:v>
      </x:c>
      <x:c r="B22" s="11" t="n">
        <x:v>29</x:v>
      </x:c>
      <x:c r="C22" s="11" t="n">
        <x:v>0</x:v>
      </x:c>
      <x:c r="D22" s="11" t="n">
        <x:v>0</x:v>
      </x:c>
      <x:c r="E22" s="11" t="n">
        <x:v>0</x:v>
      </x:c>
      <x:c r="F22" s="11" t="n">
        <x:v>29</x:v>
      </x:c>
      <x:c r="G22" s="13" t="n">
        <x:v>100</x:v>
      </x:c>
      <x:c r="H22" s="12" t="n">
        <x:v>83112.69</x:v>
      </x:c>
    </x:row>
    <x:row r="23">
      <x:c r="A23" s="10" t="str">
        <x:v>Manufacturing Partners</x:v>
      </x:c>
      <x:c r="B23" s="11" t="n">
        <x:v>18</x:v>
      </x:c>
      <x:c r="C23" s="11" t="n">
        <x:v>7</x:v>
      </x:c>
      <x:c r="D23" s="11" t="n">
        <x:v>2</x:v>
      </x:c>
      <x:c r="E23" s="11" t="n">
        <x:v>2</x:v>
      </x:c>
      <x:c r="F23" s="11" t="n">
        <x:v>7</x:v>
      </x:c>
      <x:c r="G23" s="13" t="n">
        <x:v>61.11</x:v>
      </x:c>
      <x:c r="H23" s="12" t="n">
        <x:v>66239.08</x:v>
      </x:c>
    </x:row>
    <x:row r="24">
      <x:c r="A24" s="10" t="str">
        <x:v>Specialty Retail – Small Format</x:v>
      </x:c>
      <x:c r="B24" s="11" t="n">
        <x:v>25</x:v>
      </x:c>
      <x:c r="C24" s="11" t="n">
        <x:v>9</x:v>
      </x:c>
      <x:c r="D24" s="11" t="n">
        <x:v>4</x:v>
      </x:c>
      <x:c r="E24" s="11" t="n">
        <x:v>1</x:v>
      </x:c>
      <x:c r="F24" s="11" t="n">
        <x:v>11</x:v>
      </x:c>
      <x:c r="G24" s="13" t="n">
        <x:v>64</x:v>
      </x:c>
      <x:c r="H24" s="12" t="n">
        <x:v>57144.25</x:v>
      </x:c>
    </x:row>
    <x:row r="25">
      <x:c r="A25" s="10" t="str">
        <x:v>Import Marketplace Partner</x:v>
      </x:c>
      <x:c r="B25" s="11" t="n">
        <x:v>2</x:v>
      </x:c>
      <x:c r="C25" s="11" t="n">
        <x:v>1</x:v>
      </x:c>
      <x:c r="D25" s="11" t="n">
        <x:v>0</x:v>
      </x:c>
      <x:c r="E25" s="11" t="n">
        <x:v>0</x:v>
      </x:c>
      <x:c r="F25" s="11" t="n">
        <x:v>1</x:v>
      </x:c>
      <x:c r="G25" s="13" t="n">
        <x:v>50</x:v>
      </x:c>
      <x:c r="H25" s="12" t="n">
        <x:v>36463.48</x:v>
      </x:c>
    </x:row>
    <x:row r="26">
      <x:c r="A26" s="10" t="str">
        <x:v>Independent Distribution Partner</x:v>
      </x:c>
      <x:c r="B26" s="11" t="n">
        <x:v>10</x:v>
      </x:c>
      <x:c r="C26" s="11" t="n">
        <x:v>9</x:v>
      </x:c>
      <x:c r="D26" s="11" t="n">
        <x:v>0</x:v>
      </x:c>
      <x:c r="E26" s="11" t="n">
        <x:v>0</x:v>
      </x:c>
      <x:c r="F26" s="11" t="n">
        <x:v>1</x:v>
      </x:c>
      <x:c r="G26" s="13" t="n">
        <x:v>10</x:v>
      </x:c>
      <x:c r="H26" s="12" t="n">
        <x:v>34379.29</x:v>
      </x:c>
    </x:row>
    <x:row r="27">
      <x:c r="A27" s="10" t="str">
        <x:v>Cooperative Member Account</x:v>
      </x:c>
      <x:c r="B27" s="11" t="n">
        <x:v>9</x:v>
      </x:c>
      <x:c r="C27" s="11" t="n">
        <x:v>7</x:v>
      </x:c>
      <x:c r="D27" s="11" t="n">
        <x:v>0</x:v>
      </x:c>
      <x:c r="E27" s="11" t="n">
        <x:v>0</x:v>
      </x:c>
      <x:c r="F27" s="11" t="n">
        <x:v>2</x:v>
      </x:c>
      <x:c r="G27" s="13" t="n">
        <x:v>22.22</x:v>
      </x:c>
      <x:c r="H27" s="12" t="n">
        <x:v>30764.05</x:v>
      </x:c>
    </x:row>
    <x:row r="28">
      <x:c r="A28" s="10" t="str">
        <x:v>Regional Specialty Market</x:v>
      </x:c>
      <x:c r="B28" s="11" t="n">
        <x:v>13</x:v>
      </x:c>
      <x:c r="C28" s="11" t="n">
        <x:v>12</x:v>
      </x:c>
      <x:c r="D28" s="11" t="n">
        <x:v>0</x:v>
      </x:c>
      <x:c r="E28" s="11" t="n">
        <x:v>0</x:v>
      </x:c>
      <x:c r="F28" s="11" t="n">
        <x:v>1</x:v>
      </x:c>
      <x:c r="G28" s="13" t="n">
        <x:v>7.69</x:v>
      </x:c>
      <x:c r="H28" s="12" t="n">
        <x:v>29970.18</x:v>
      </x:c>
    </x:row>
    <x:row r="29">
      <x:c r="A29" s="10" t="str">
        <x:v>High-Volume Distribution Partner</x:v>
      </x:c>
      <x:c r="B29" s="11" t="n">
        <x:v>2</x:v>
      </x:c>
      <x:c r="C29" s="11" t="n">
        <x:v>1</x:v>
      </x:c>
      <x:c r="D29" s="11" t="n">
        <x:v>0</x:v>
      </x:c>
      <x:c r="E29" s="11" t="n">
        <x:v>0</x:v>
      </x:c>
      <x:c r="F29" s="11" t="n">
        <x:v>1</x:v>
      </x:c>
      <x:c r="G29" s="13" t="n">
        <x:v>50</x:v>
      </x:c>
      <x:c r="H29" s="12" t="n">
        <x:v>25341.88</x:v>
      </x:c>
    </x:row>
    <x:row r="30">
      <x:c r="A30" s="10" t="str">
        <x:v>Specialty Distribution Partner</x:v>
      </x:c>
      <x:c r="B30" s="11" t="n">
        <x:v>1</x:v>
      </x:c>
      <x:c r="C30" s="11" t="n">
        <x:v>0</x:v>
      </x:c>
      <x:c r="D30" s="11" t="n">
        <x:v>1</x:v>
      </x:c>
      <x:c r="E30" s="11" t="n">
        <x:v>0</x:v>
      </x:c>
      <x:c r="F30" s="11" t="n">
        <x:v>0</x:v>
      </x:c>
      <x:c r="G30" s="13" t="n">
        <x:v>100</x:v>
      </x:c>
      <x:c r="H30" s="12" t="n">
        <x:v>24462.91</x:v>
      </x:c>
    </x:row>
    <x:row r="31">
      <x:c r="A31" s="10" t="str">
        <x:v>Village Retail Operator</x:v>
      </x:c>
      <x:c r="B31" s="11" t="n">
        <x:v>15</x:v>
      </x:c>
      <x:c r="C31" s="11" t="n">
        <x:v>12</x:v>
      </x:c>
      <x:c r="D31" s="11" t="n">
        <x:v>1</x:v>
      </x:c>
      <x:c r="E31" s="11" t="n">
        <x:v>0</x:v>
      </x:c>
      <x:c r="F31" s="11" t="n">
        <x:v>2</x:v>
      </x:c>
      <x:c r="G31" s="13" t="n">
        <x:v>20</x:v>
      </x:c>
      <x:c r="H31" s="12" t="n">
        <x:v>19984.48</x:v>
      </x:c>
    </x:row>
    <x:row r="32">
      <x:c r="A32" s="10" t="str">
        <x:v>Metropolitan Retail Group</x:v>
      </x:c>
      <x:c r="B32" s="11" t="n">
        <x:v>6</x:v>
      </x:c>
      <x:c r="C32" s="11" t="n">
        <x:v>3</x:v>
      </x:c>
      <x:c r="D32" s="11" t="n">
        <x:v>0</x:v>
      </x:c>
      <x:c r="E32" s="11" t="n">
        <x:v>2</x:v>
      </x:c>
      <x:c r="F32" s="11" t="n">
        <x:v>1</x:v>
      </x:c>
      <x:c r="G32" s="13" t="n">
        <x:v>50</x:v>
      </x:c>
      <x:c r="H32" s="12" t="n">
        <x:v>18374.91</x:v>
      </x:c>
    </x:row>
    <x:row r="33">
      <x:c r="A33" s="10" t="str">
        <x:v>Suburban Independent Retailer</x:v>
      </x:c>
      <x:c r="B33" s="11" t="n">
        <x:v>5</x:v>
      </x:c>
      <x:c r="C33" s="11" t="n">
        <x:v>4</x:v>
      </x:c>
      <x:c r="D33" s="11" t="n">
        <x:v>0</x:v>
      </x:c>
      <x:c r="E33" s="11" t="n">
        <x:v>0</x:v>
      </x:c>
      <x:c r="F33" s="11" t="n">
        <x:v>1</x:v>
      </x:c>
      <x:c r="G33" s="13" t="n">
        <x:v>20</x:v>
      </x:c>
      <x:c r="H33" s="12" t="n">
        <x:v>13759.52</x:v>
      </x:c>
    </x:row>
    <x:row r="34">
      <x:c r="A34" s="10" t="str">
        <x:v>Unassigned</x:v>
      </x:c>
      <x:c r="B34" s="11" t="n">
        <x:v>15</x:v>
      </x:c>
      <x:c r="C34" s="11" t="n">
        <x:v>8</x:v>
      </x:c>
      <x:c r="D34" s="11" t="n">
        <x:v>0</x:v>
      </x:c>
      <x:c r="E34" s="11" t="n">
        <x:v>0</x:v>
      </x:c>
      <x:c r="F34" s="11" t="n">
        <x:v>7</x:v>
      </x:c>
      <x:c r="G34" s="13" t="n">
        <x:v>46.67</x:v>
      </x:c>
      <x:c r="H34" s="12" t="n">
        <x:v>11133.4</x:v>
      </x:c>
    </x:row>
    <x:row r="35">
      <x:c r="A35" s="10" t="str">
        <x:v>Convenience Retail Group</x:v>
      </x:c>
      <x:c r="B35" s="11" t="n">
        <x:v>5</x:v>
      </x:c>
      <x:c r="C35" s="11" t="n">
        <x:v>4</x:v>
      </x:c>
      <x:c r="D35" s="11" t="n">
        <x:v>0</x:v>
      </x:c>
      <x:c r="E35" s="11" t="n">
        <x:v>0</x:v>
      </x:c>
      <x:c r="F35" s="11" t="n">
        <x:v>1</x:v>
      </x:c>
      <x:c r="G35" s="13" t="n">
        <x:v>20</x:v>
      </x:c>
      <x:c r="H35" s="12" t="n">
        <x:v>2734.81</x:v>
      </x:c>
    </x:row>
    <x:row r="36">
      <x:c r="A36" s="10" t="str">
        <x:v>Regional Multi-Unit Operator</x:v>
      </x:c>
      <x:c r="B36" s="11" t="n">
        <x:v>17</x:v>
      </x:c>
      <x:c r="C36" s="11" t="n">
        <x:v>15</x:v>
      </x:c>
      <x:c r="D36" s="11" t="n">
        <x:v>0</x:v>
      </x:c>
      <x:c r="E36" s="11" t="n">
        <x:v>0</x:v>
      </x:c>
      <x:c r="F36" s="11" t="n">
        <x:v>2</x:v>
      </x:c>
      <x:c r="G36" s="13" t="n">
        <x:v>11.76</x:v>
      </x:c>
      <x:c r="H36" s="12" t="n">
        <x:v>2714.74</x:v>
      </x:c>
    </x:row>
    <x:row r="37">
      <x:c r="A37" s="10" t="str">
        <x:v>Premium Specialty Operator</x:v>
      </x:c>
      <x:c r="B37" s="11" t="n">
        <x:v>6</x:v>
      </x:c>
      <x:c r="C37" s="11" t="n">
        <x:v>3</x:v>
      </x:c>
      <x:c r="D37" s="11" t="n">
        <x:v>0</x:v>
      </x:c>
      <x:c r="E37" s="11" t="n">
        <x:v>1</x:v>
      </x:c>
      <x:c r="F37" s="11" t="n">
        <x:v>2</x:v>
      </x:c>
      <x:c r="G37" s="13" t="n">
        <x:v>50</x:v>
      </x:c>
      <x:c r="H37" s="12" t="n">
        <x:v>2481.98</x:v>
      </x:c>
    </x:row>
    <x:row r="38">
      <x:c r="A38" s="10" t="str">
        <x:v>Unassigned – Legacy</x:v>
      </x:c>
      <x:c r="B38" s="11" t="n">
        <x:v>1</x:v>
      </x:c>
      <x:c r="C38" s="11" t="n">
        <x:v>1</x:v>
      </x:c>
      <x:c r="D38" s="11" t="n">
        <x:v>0</x:v>
      </x:c>
      <x:c r="E38" s="11" t="n">
        <x:v>0</x:v>
      </x:c>
      <x:c r="F38" s="11" t="n">
        <x:v>0</x:v>
      </x:c>
      <x:c r="G38" s="13" t="n">
        <x:v>0</x:v>
      </x:c>
      <x:c r="H38" s="12" t="n">
        <x:v>0</x:v>
      </x:c>
    </x:row>
    <x:row r="39">
      <x:c r="A39" s="10" t="str">
        <x:v>Multi-Location Retail Group – Premium Tier</x:v>
      </x:c>
      <x:c r="B39" s="11" t="n">
        <x:v>33</x:v>
      </x:c>
      <x:c r="C39" s="11" t="n">
        <x:v>33</x:v>
      </x:c>
      <x:c r="D39" s="11" t="n">
        <x:v>0</x:v>
      </x:c>
      <x:c r="E39" s="11" t="n">
        <x:v>0</x:v>
      </x:c>
      <x:c r="F39" s="11" t="n">
        <x:v>0</x:v>
      </x:c>
      <x:c r="G39" s="13" t="n">
        <x:v>0</x:v>
      </x:c>
      <x:c r="H39" s="12" t="n">
        <x:v>0</x:v>
      </x:c>
    </x:row>
    <x:row r="40">
      <x:c r="A40" s="10" t="str">
        <x:v>Neighborhood Retail Group</x:v>
      </x:c>
      <x:c r="B40" s="11" t="n">
        <x:v>11</x:v>
      </x:c>
      <x:c r="C40" s="11" t="n">
        <x:v>11</x:v>
      </x:c>
      <x:c r="D40" s="11" t="n">
        <x:v>0</x:v>
      </x:c>
      <x:c r="E40" s="11" t="n">
        <x:v>0</x:v>
      </x:c>
      <x:c r="F40" s="11" t="n">
        <x:v>0</x:v>
      </x:c>
      <x:c r="G40" s="13" t="n">
        <x:v>0</x:v>
      </x:c>
      <x:c r="H40" s="12" t="n">
        <x:v>0</x:v>
      </x:c>
    </x:row>
    <x:row r="41">
      <x:c r="A41" s="10" t="str">
        <x:v>Institutional Buyer</x:v>
      </x:c>
      <x:c r="B41" s="11" t="n">
        <x:v>4</x:v>
      </x:c>
      <x:c r="C41" s="11" t="n">
        <x:v>4</x:v>
      </x:c>
      <x:c r="D41" s="11" t="n">
        <x:v>0</x:v>
      </x:c>
      <x:c r="E41" s="11" t="n">
        <x:v>0</x:v>
      </x:c>
      <x:c r="F41" s="11" t="n">
        <x:v>0</x:v>
      </x:c>
      <x:c r="G41" s="13" t="n">
        <x:v>0</x:v>
      </x:c>
      <x:c r="H41" s="12" t="n">
        <x:v>0</x:v>
      </x:c>
    </x:row>
    <x:row r="42">
      <x:c r="A42" s="10" t="str">
        <x:v>Suburban Retail Chain</x:v>
      </x:c>
      <x:c r="B42" s="11" t="n">
        <x:v>9</x:v>
      </x:c>
      <x:c r="C42" s="11" t="n">
        <x:v>9</x:v>
      </x:c>
      <x:c r="D42" s="11" t="n">
        <x:v>0</x:v>
      </x:c>
      <x:c r="E42" s="11" t="n">
        <x:v>0</x:v>
      </x:c>
      <x:c r="F42" s="11" t="n">
        <x:v>0</x:v>
      </x:c>
      <x:c r="G42" s="13" t="n">
        <x:v>0</x:v>
      </x:c>
      <x:c r="H42" s="12" t="n">
        <x:v>0</x:v>
      </x:c>
    </x:row>
    <x:row r="43">
      <x:c r="A43" s="10" t="str">
        <x:v>Urban Independent Retailer</x:v>
      </x:c>
      <x:c r="B43" s="11" t="n">
        <x:v>6</x:v>
      </x:c>
      <x:c r="C43" s="11" t="n">
        <x:v>6</x:v>
      </x:c>
      <x:c r="D43" s="11" t="n">
        <x:v>0</x:v>
      </x:c>
      <x:c r="E43" s="11" t="n">
        <x:v>0</x:v>
      </x:c>
      <x:c r="F43" s="11" t="n">
        <x:v>0</x:v>
      </x:c>
      <x:c r="G43" s="13" t="n">
        <x:v>0</x:v>
      </x:c>
      <x:c r="H43" s="12" t="n">
        <x:v>0</x:v>
      </x:c>
    </x:row>
    <x:row r="44">
      <x:c r="A44" s="10" t="str">
        <x:v>Niche Specialty Retailer</x:v>
      </x:c>
      <x:c r="B44" s="11" t="n">
        <x:v>4</x:v>
      </x:c>
      <x:c r="C44" s="11" t="n">
        <x:v>4</x:v>
      </x:c>
      <x:c r="D44" s="11" t="n">
        <x:v>0</x:v>
      </x:c>
      <x:c r="E44" s="11" t="n">
        <x:v>0</x:v>
      </x:c>
      <x:c r="F44" s="11" t="n">
        <x:v>0</x:v>
      </x:c>
      <x:c r="G44" s="13" t="n">
        <x:v>0</x:v>
      </x:c>
      <x:c r="H44" s="12" t="n">
        <x:v>0</x:v>
      </x:c>
    </x:row>
    <x:row r="45">
      <x:c r="A45" s="10" t="str">
        <x:v>International Retail Chain</x:v>
      </x:c>
      <x:c r="B45" s="11" t="n">
        <x:v>2</x:v>
      </x:c>
      <x:c r="C45" s="11" t="n">
        <x:v>2</x:v>
      </x:c>
      <x:c r="D45" s="11" t="n">
        <x:v>0</x:v>
      </x:c>
      <x:c r="E45" s="11" t="n">
        <x:v>0</x:v>
      </x:c>
      <x:c r="F45" s="11" t="n">
        <x:v>0</x:v>
      </x:c>
      <x:c r="G45" s="13" t="n">
        <x:v>0</x:v>
      </x:c>
      <x:c r="H45" s="12" t="n">
        <x:v>0</x:v>
      </x:c>
    </x:row>
    <x:row r="46">
      <x:c r="A46" s="10" t="str">
        <x:v>High-End Urban Retailer</x:v>
      </x:c>
      <x:c r="B46" s="11" t="n">
        <x:v>1</x:v>
      </x:c>
      <x:c r="C46" s="11" t="n">
        <x:v>1</x:v>
      </x:c>
      <x:c r="D46" s="11" t="n">
        <x:v>0</x:v>
      </x:c>
      <x:c r="E46" s="11" t="n">
        <x:v>0</x:v>
      </x:c>
      <x:c r="F46" s="11" t="n">
        <x:v>0</x:v>
      </x:c>
      <x:c r="G46" s="13" t="n">
        <x:v>0</x:v>
      </x:c>
      <x:c r="H46" s="12" t="n">
        <x:v>0</x:v>
      </x:c>
    </x:row>
    <x:row r="47">
      <x:c r="A47" s="10" t="str">
        <x:v>Import Distribution Partner</x:v>
      </x:c>
      <x:c r="B47" s="11" t="n">
        <x:v>1</x:v>
      </x:c>
      <x:c r="C47" s="11" t="n">
        <x:v>1</x:v>
      </x:c>
      <x:c r="D47" s="11" t="n">
        <x:v>0</x:v>
      </x:c>
      <x:c r="E47" s="11" t="n">
        <x:v>0</x:v>
      </x:c>
      <x:c r="F47" s="11" t="n">
        <x:v>0</x:v>
      </x:c>
      <x:c r="G47" s="13" t="n">
        <x:v>0</x:v>
      </x:c>
      <x:c r="H47" s="12" t="n">
        <x:v>0</x:v>
      </x:c>
    </x:row>
    <x:row r="48">
      <x:c r="A48" s="10" t="str">
        <x:v>Cooperative Retail Affiliate</x:v>
      </x:c>
      <x:c r="B48" s="11" t="n">
        <x:v>4</x:v>
      </x:c>
      <x:c r="C48" s="11" t="n">
        <x:v>4</x:v>
      </x:c>
      <x:c r="D48" s="11" t="n">
        <x:v>0</x:v>
      </x:c>
      <x:c r="E48" s="11" t="n">
        <x:v>0</x:v>
      </x:c>
      <x:c r="F48" s="11" t="n">
        <x:v>0</x:v>
      </x:c>
      <x:c r="G48" s="13" t="n">
        <x:v>0</x:v>
      </x:c>
      <x:c r="H48" s="12" t="n">
        <x:v>0</x:v>
      </x:c>
    </x:row>
    <x:row r="49">
      <x:c r="A49" s="10" t="str">
        <x:v>Event &amp; Promotional Accounts</x:v>
      </x:c>
      <x:c r="B49" s="11" t="n">
        <x:v>8</x:v>
      </x:c>
      <x:c r="C49" s="11" t="n">
        <x:v>8</x:v>
      </x:c>
      <x:c r="D49" s="11" t="n">
        <x:v>0</x:v>
      </x:c>
      <x:c r="E49" s="11" t="n">
        <x:v>0</x:v>
      </x:c>
      <x:c r="F49" s="11" t="n">
        <x:v>0</x:v>
      </x:c>
      <x:c r="G49" s="13" t="n">
        <x:v>0</x:v>
      </x:c>
      <x:c r="H49" s="12" t="n">
        <x:v>0</x:v>
      </x:c>
    </x:row>
    <x:row r="50">
      <x:c r="A50" s="10" t="str">
        <x:v>Boutique Retail Operator</x:v>
      </x:c>
      <x:c r="B50" s="11" t="n">
        <x:v>2</x:v>
      </x:c>
      <x:c r="C50" s="11" t="n">
        <x:v>2</x:v>
      </x:c>
      <x:c r="D50" s="11" t="n">
        <x:v>0</x:v>
      </x:c>
      <x:c r="E50" s="11" t="n">
        <x:v>0</x:v>
      </x:c>
      <x:c r="F50" s="11" t="n">
        <x:v>0</x:v>
      </x:c>
      <x:c r="G50" s="13" t="n">
        <x:v>0</x:v>
      </x:c>
      <x:c r="H50" s="12" t="n">
        <x:v>0</x:v>
      </x:c>
    </x:row>
    <x:row r="51">
      <x:c r="A51" s="10" t="str">
        <x:v>Regional Retail Affiliate</x:v>
      </x:c>
      <x:c r="B51" s="11" t="n">
        <x:v>1</x:v>
      </x:c>
      <x:c r="C51" s="11" t="n">
        <x:v>1</x:v>
      </x:c>
      <x:c r="D51" s="11" t="n">
        <x:v>0</x:v>
      </x:c>
      <x:c r="E51" s="11" t="n">
        <x:v>0</x:v>
      </x:c>
      <x:c r="F51" s="11" t="n">
        <x:v>0</x:v>
      </x:c>
      <x:c r="G51" s="13" t="n">
        <x:v>0</x:v>
      </x:c>
      <x:c r="H51" s="12" t="n">
        <x:v>0</x:v>
      </x:c>
    </x:row>
    <x:row r="52">
      <x:c r="A52" s="10" t="str">
        <x:v>Specialty Beverage Retailer</x:v>
      </x:c>
      <x:c r="B52" s="11" t="n">
        <x:v>12</x:v>
      </x:c>
      <x:c r="C52" s="11" t="n">
        <x:v>12</x:v>
      </x:c>
      <x:c r="D52" s="11" t="n">
        <x:v>0</x:v>
      </x:c>
      <x:c r="E52" s="11" t="n">
        <x:v>0</x:v>
      </x:c>
      <x:c r="F52" s="11" t="n">
        <x:v>0</x:v>
      </x:c>
      <x:c r="G52" s="13" t="n">
        <x:v>0</x:v>
      </x:c>
      <x:c r="H52" s="12" t="n">
        <x:v>0</x:v>
      </x:c>
    </x:row>
    <x:row r="53">
      <x:c r="A53" s="10" t="str">
        <x:v>Farm &amp; Specialty Market</x:v>
      </x:c>
      <x:c r="B53" s="11" t="n">
        <x:v>1</x:v>
      </x:c>
      <x:c r="C53" s="11" t="n">
        <x:v>1</x:v>
      </x:c>
      <x:c r="D53" s="11" t="n">
        <x:v>0</x:v>
      </x:c>
      <x:c r="E53" s="11" t="n">
        <x:v>0</x:v>
      </x:c>
      <x:c r="F53" s="11" t="n">
        <x:v>0</x:v>
      </x:c>
      <x:c r="G53" s="13" t="n">
        <x:v>0</x:v>
      </x:c>
      <x:c r="H53" s="12" t="n">
        <x:v>0</x:v>
      </x:c>
    </x:row>
    <x:row r="54">
      <x:c r="A54" s="10" t="str">
        <x:v>Franchise Retail Member</x:v>
      </x:c>
      <x:c r="B54" s="11" t="n">
        <x:v>3</x:v>
      </x:c>
      <x:c r="C54" s="11" t="n">
        <x:v>3</x:v>
      </x:c>
      <x:c r="D54" s="11" t="n">
        <x:v>0</x:v>
      </x:c>
      <x:c r="E54" s="11" t="n">
        <x:v>0</x:v>
      </x:c>
      <x:c r="F54" s="11" t="n">
        <x:v>0</x:v>
      </x:c>
      <x:c r="G54" s="13" t="n">
        <x:v>0</x:v>
      </x:c>
      <x:c r="H54" s="12" t="n">
        <x:v>0</x:v>
      </x:c>
    </x:row>
    <x:row r="55">
      <x:c r="A55" s="10" t="str">
        <x:v>Specialty Goods Retailer</x:v>
      </x:c>
      <x:c r="B55" s="11" t="n">
        <x:v>1</x:v>
      </x:c>
      <x:c r="C55" s="11" t="n">
        <x:v>1</x:v>
      </x:c>
      <x:c r="D55" s="11" t="n">
        <x:v>0</x:v>
      </x:c>
      <x:c r="E55" s="11" t="n">
        <x:v>0</x:v>
      </x:c>
      <x:c r="F55" s="11" t="n">
        <x:v>0</x:v>
      </x:c>
      <x:c r="G55" s="13" t="n">
        <x:v>0</x:v>
      </x:c>
      <x:c r="H55" s="12" t="n">
        <x:v>0</x:v>
      </x:c>
    </x:row>
    <x:row r="56">
      <x:c r="A56" s="10" t="str">
        <x:v>Wine &amp; Spirits Retailer</x:v>
      </x:c>
      <x:c r="B56" s="11" t="n">
        <x:v>4</x:v>
      </x:c>
      <x:c r="C56" s="11" t="n">
        <x:v>4</x:v>
      </x:c>
      <x:c r="D56" s="11" t="n">
        <x:v>0</x:v>
      </x:c>
      <x:c r="E56" s="11" t="n">
        <x:v>0</x:v>
      </x:c>
      <x:c r="F56" s="11" t="n">
        <x:v>0</x:v>
      </x:c>
      <x:c r="G56" s="13" t="n">
        <x:v>0</x:v>
      </x:c>
      <x:c r="H56" s="12" t="n">
        <x:v>0</x:v>
      </x:c>
    </x:row>
    <x:row r="57">
      <x:c r="A57" s="10" t="str">
        <x:v>Large Regional Retail Chain</x:v>
      </x:c>
      <x:c r="B57" s="11" t="n">
        <x:v>12</x:v>
      </x:c>
      <x:c r="C57" s="11" t="n">
        <x:v>12</x:v>
      </x:c>
      <x:c r="D57" s="11" t="n">
        <x:v>0</x:v>
      </x:c>
      <x:c r="E57" s="11" t="n">
        <x:v>0</x:v>
      </x:c>
      <x:c r="F57" s="11" t="n">
        <x:v>0</x:v>
      </x:c>
      <x:c r="G57" s="13" t="n">
        <x:v>0</x:v>
      </x:c>
      <x:c r="H57" s="12" t="n">
        <x:v>0</x:v>
      </x:c>
    </x:row>
    <x:row r="58">
      <x:c r="A58" s="10" t="str">
        <x:v>National Retail Affiliate</x:v>
      </x:c>
      <x:c r="B58" s="11" t="n">
        <x:v>8</x:v>
      </x:c>
      <x:c r="C58" s="11" t="n">
        <x:v>8</x:v>
      </x:c>
      <x:c r="D58" s="11" t="n">
        <x:v>0</x:v>
      </x:c>
      <x:c r="E58" s="11" t="n">
        <x:v>0</x:v>
      </x:c>
      <x:c r="F58" s="11" t="n">
        <x:v>0</x:v>
      </x:c>
      <x:c r="G58" s="13" t="n">
        <x:v>0</x:v>
      </x:c>
      <x:c r="H58" s="12" t="n">
        <x:v>0</x:v>
      </x:c>
    </x:row>
    <x:row r="59">
      <x:c r="A59" s="10" t="str">
        <x:v>National Retail Affiliate – Secondary</x:v>
      </x:c>
      <x:c r="B59" s="11" t="n">
        <x:v>4</x:v>
      </x:c>
      <x:c r="C59" s="11" t="n">
        <x:v>4</x:v>
      </x:c>
      <x:c r="D59" s="11" t="n">
        <x:v>0</x:v>
      </x:c>
      <x:c r="E59" s="11" t="n">
        <x:v>0</x:v>
      </x:c>
      <x:c r="F59" s="11" t="n">
        <x:v>0</x:v>
      </x:c>
      <x:c r="G59" s="13" t="n">
        <x:v>0</x:v>
      </x:c>
      <x:c r="H59" s="12" t="n">
        <x:v>0</x:v>
      </x:c>
    </x:row>
    <x:row r="60">
      <x:c r="A60" s="10" t="str">
        <x:v>Commercial Supply Vendor</x:v>
      </x:c>
      <x:c r="B60" s="11" t="n">
        <x:v>1</x:v>
      </x:c>
      <x:c r="C60" s="11" t="n">
        <x:v>1</x:v>
      </x:c>
      <x:c r="D60" s="11" t="n">
        <x:v>0</x:v>
      </x:c>
      <x:c r="E60" s="11" t="n">
        <x:v>0</x:v>
      </x:c>
      <x:c r="F60" s="11" t="n">
        <x:v>0</x:v>
      </x:c>
      <x:c r="G60" s="13" t="n">
        <x:v>0</x:v>
      </x:c>
      <x:c r="H60" s="12" t="n">
        <x:v>0</x:v>
      </x:c>
    </x:row>
    <x:row r="61">
      <x:c r="A61" s="10" t="str">
        <x:v>Destination Retail Location</x:v>
      </x:c>
      <x:c r="B61" s="11" t="n">
        <x:v>8</x:v>
      </x:c>
      <x:c r="C61" s="11" t="n">
        <x:v>8</x:v>
      </x:c>
      <x:c r="D61" s="11" t="n">
        <x:v>0</x:v>
      </x:c>
      <x:c r="E61" s="11" t="n">
        <x:v>0</x:v>
      </x:c>
      <x:c r="F61" s="11" t="n">
        <x:v>0</x:v>
      </x:c>
      <x:c r="G61" s="13" t="n">
        <x:v>0</x:v>
      </x:c>
      <x:c r="H61" s="12" t="n">
        <x:v>0</x:v>
      </x:c>
    </x:row>
    <x:row r="62">
      <x:c r="A62" s="10" t="str">
        <x:v>Family-Owned Retail Business</x:v>
      </x:c>
      <x:c r="B62" s="11" t="n">
        <x:v>5</x:v>
      </x:c>
      <x:c r="C62" s="11" t="n">
        <x:v>5</x:v>
      </x:c>
      <x:c r="D62" s="11" t="n">
        <x:v>0</x:v>
      </x:c>
      <x:c r="E62" s="11" t="n">
        <x:v>0</x:v>
      </x:c>
      <x:c r="F62" s="11" t="n">
        <x:v>0</x:v>
      </x:c>
      <x:c r="G62" s="13" t="n">
        <x:v>0</x:v>
      </x:c>
      <x:c r="H62" s="12" t="n">
        <x:v>0</x:v>
      </x:c>
    </x:row>
    <x:row r="63">
      <x:c r="A63" s="10" t="str">
        <x:v>Regional Specialty Retailer</x:v>
      </x:c>
      <x:c r="B63" s="11" t="n">
        <x:v>5</x:v>
      </x:c>
      <x:c r="C63" s="11" t="n">
        <x:v>5</x:v>
      </x:c>
      <x:c r="D63" s="11" t="n">
        <x:v>0</x:v>
      </x:c>
      <x:c r="E63" s="11" t="n">
        <x:v>0</x:v>
      </x:c>
      <x:c r="F63" s="11" t="n">
        <x:v>0</x:v>
      </x:c>
      <x:c r="G63" s="13" t="n">
        <x:v>0</x:v>
      </x:c>
      <x:c r="H63" s="12" t="n">
        <x:v>0</x:v>
      </x:c>
    </x:row>
    <x:row r="64">
      <x:c r="A64" s="10" t="str">
        <x:v>Independent Neighborhood Retailer</x:v>
      </x:c>
      <x:c r="B64" s="11" t="n">
        <x:v>4</x:v>
      </x:c>
      <x:c r="C64" s="11" t="n">
        <x:v>4</x:v>
      </x:c>
      <x:c r="D64" s="11" t="n">
        <x:v>0</x:v>
      </x:c>
      <x:c r="E64" s="11" t="n">
        <x:v>0</x:v>
      </x:c>
      <x:c r="F64" s="11" t="n">
        <x:v>0</x:v>
      </x:c>
      <x:c r="G64" s="13" t="n">
        <x:v>0</x:v>
      </x:c>
      <x:c r="H64" s="12" t="n">
        <x:v>0</x:v>
      </x:c>
    </x:row>
    <x:row r="65">
      <x:c r="A65" s="10" t="str">
        <x:v>Midwest Specialty Operator</x:v>
      </x:c>
      <x:c r="B65" s="11" t="n">
        <x:v>1</x:v>
      </x:c>
      <x:c r="C65" s="11" t="n">
        <x:v>1</x:v>
      </x:c>
      <x:c r="D65" s="11" t="n">
        <x:v>0</x:v>
      </x:c>
      <x:c r="E65" s="11" t="n">
        <x:v>0</x:v>
      </x:c>
      <x:c r="F65" s="11" t="n">
        <x:v>0</x:v>
      </x:c>
      <x:c r="G65" s="13" t="n">
        <x:v>0</x:v>
      </x:c>
      <x:c r="H65" s="12" t="n">
        <x:v>0</x:v>
      </x:c>
    </x:row>
    <x:row r="66">
      <x:c r="A66" s="10" t="str">
        <x:v>Regional Multi-Unit Retail Chain</x:v>
      </x:c>
      <x:c r="B66" s="11" t="n">
        <x:v>5</x:v>
      </x:c>
      <x:c r="C66" s="11" t="n">
        <x:v>5</x:v>
      </x:c>
      <x:c r="D66" s="11" t="n">
        <x:v>0</x:v>
      </x:c>
      <x:c r="E66" s="11" t="n">
        <x:v>0</x:v>
      </x:c>
      <x:c r="F66" s="11" t="n">
        <x:v>0</x:v>
      </x:c>
      <x:c r="G66" s="13" t="n">
        <x:v>0</x:v>
      </x:c>
      <x:c r="H66" s="12" t="n">
        <x:v>0</x:v>
      </x:c>
    </x:row>
    <x:row r="67">
      <x:c r="A67" s="10" t="str">
        <x:v>Miscellaneous Trade Accounts</x:v>
      </x:c>
      <x:c r="B67" s="11" t="n">
        <x:v>1</x:v>
      </x:c>
      <x:c r="C67" s="11" t="n">
        <x:v>1</x:v>
      </x:c>
      <x:c r="D67" s="11" t="n">
        <x:v>0</x:v>
      </x:c>
      <x:c r="E67" s="11" t="n">
        <x:v>0</x:v>
      </x:c>
      <x:c r="F67" s="11" t="n">
        <x:v>0</x:v>
      </x:c>
      <x:c r="G67" s="13" t="n">
        <x:v>0</x:v>
      </x:c>
      <x:c r="H67" s="12" t="n">
        <x:v>0</x:v>
      </x:c>
    </x:row>
    <x:row r="68">
      <x:c r="A68" s="10" t="str">
        <x:v>Unmapped</x:v>
      </x:c>
      <x:c r="B68" s="11" t="n">
        <x:v>21</x:v>
      </x:c>
      <x:c r="C68" s="11" t="n">
        <x:v>0</x:v>
      </x:c>
      <x:c r="D68" s="11" t="n">
        <x:v>0</x:v>
      </x:c>
      <x:c r="E68" s="11" t="n">
        <x:v>0</x:v>
      </x:c>
      <x:c r="F68" s="11" t="n">
        <x:v>0</x:v>
      </x:c>
      <x:c r="G68" s="13" t="n">
        <x:v>0</x:v>
      </x:c>
      <x:c r="H68" s="12" t="n">
        <x:v>0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733f6f08655f447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4" hidden="0" customWidth="1"/>
    <x:col min="3" max="3" width="18" hidden="0" customWidth="1"/>
    <x:col min="4" max="4" width="16" hidden="0" customWidth="1"/>
    <x:col min="5" max="5" width="20" hidden="0" customWidth="1"/>
    <x:col min="6" max="6" width="18" hidden="0" customWidth="1"/>
  </x:cols>
  <x:sheetData>
    <x:row r="1" ht="30" customHeight="1">
      <x:c r="A1" s="3" t="str">
        <x:v>Supporting Detail | Outreach Priorities</x:v>
      </x:c>
      <x:c r="B1" s="3" t="str">
        <x:v>Supporting Detail | Outreach Priorities</x:v>
      </x:c>
      <x:c r="C1" s="3" t="str">
        <x:v>Supporting Detail | Outreach Priorities</x:v>
      </x:c>
      <x:c r="D1" s="3" t="str">
        <x:v>Supporting Detail | Outreach Priorities</x:v>
      </x:c>
      <x:c r="E1" s="3" t="str">
        <x:v>Supporting Detail | Outreach Priorities</x:v>
      </x:c>
      <x:c r="F1" s="3" t="str">
        <x:v>Supporting Detail | Outreach Priorities</x:v>
      </x:c>
    </x:row>
    <x:row r="2" ht="24" customHeight="1">
      <x:c r="A2" s="6" t="str">
        <x:v>Top 100 anonymized customer records for retention follow-up.</x:v>
      </x:c>
      <x:c r="B2" s="6" t="str">
        <x:v>Top 100 anonymized customer records for retention follow-up.</x:v>
      </x:c>
      <x:c r="C2" s="6" t="str">
        <x:v>Top 100 anonymized customer records for retention follow-up.</x:v>
      </x:c>
      <x:c r="D2" s="6" t="str">
        <x:v>Top 100 anonymized customer records for retention follow-up.</x:v>
      </x:c>
      <x:c r="E2" s="6" t="str">
        <x:v>Top 100 anonymized customer records for retention follow-up.</x:v>
      </x:c>
      <x:c r="F2" s="6" t="str">
        <x:v>Top 100 anonymized customer records for retention follow-up.</x:v>
      </x:c>
    </x:row>
    <x:row r="4" ht="28" customHeight="1">
      <x:c r="A4" s="10" t="str">
        <x:v>Customer</x:v>
      </x:c>
      <x:c r="B4" s="10" t="str">
        <x:v>Customer segment</x:v>
      </x:c>
      <x:c r="C4" s="10" t="str">
        <x:v>Last active period</x:v>
      </x:c>
      <x:c r="D4" s="10" t="str">
        <x:v>Months inactive</x:v>
      </x:c>
      <x:c r="E4" s="10" t="str">
        <x:v>Lifecycle status</x:v>
      </x:c>
      <x:c r="F4" s="10" t="str">
        <x:v>Revenue at risk</x:v>
      </x:c>
    </x:row>
    <x:row r="5">
      <x:c r="A5" s="10" t="str">
        <x:v>CUSTOMER_0167</x:v>
      </x:c>
      <x:c r="B5" s="10" t="str">
        <x:v>Independent Retail Accounts</x:v>
      </x:c>
      <x:c r="C5" s="19" t="str">
        <x:v>2404</x:v>
      </x:c>
      <x:c r="D5" s="11" t="n">
        <x:v>8</x:v>
      </x:c>
      <x:c r="E5" s="10" t="str">
        <x:v>At Risk</x:v>
      </x:c>
      <x:c r="F5" s="17" t="n">
        <x:v>312309.39</x:v>
      </x:c>
    </x:row>
    <x:row r="6">
      <x:c r="A6" s="10" t="str">
        <x:v>CUSTOMER_2084</x:v>
      </x:c>
      <x:c r="B6" s="10" t="str">
        <x:v>Independent Retail Accounts</x:v>
      </x:c>
      <x:c r="C6" s="19" t="str">
        <x:v>2401</x:v>
      </x:c>
      <x:c r="D6" s="11" t="n">
        <x:v>11</x:v>
      </x:c>
      <x:c r="E6" s="10" t="str">
        <x:v>At Risk</x:v>
      </x:c>
      <x:c r="F6" s="17" t="n">
        <x:v>205995.1</x:v>
      </x:c>
    </x:row>
    <x:row r="7">
      <x:c r="A7" s="10" t="str">
        <x:v>CUSTOMER_1999</x:v>
      </x:c>
      <x:c r="B7" s="10" t="str">
        <x:v>Independent Retail Accounts</x:v>
      </x:c>
      <x:c r="C7" s="19" t="str">
        <x:v>2404</x:v>
      </x:c>
      <x:c r="D7" s="11" t="n">
        <x:v>8</x:v>
      </x:c>
      <x:c r="E7" s="10" t="str">
        <x:v>At Risk</x:v>
      </x:c>
      <x:c r="F7" s="17" t="n">
        <x:v>178003.84</x:v>
      </x:c>
    </x:row>
    <x:row r="8">
      <x:c r="A8" s="10" t="str">
        <x:v>CUSTOMER_0657</x:v>
      </x:c>
      <x:c r="B8" s="10" t="str">
        <x:v>Regional Retail Chain – Tier 2</x:v>
      </x:c>
      <x:c r="C8" s="19" t="str">
        <x:v>2404</x:v>
      </x:c>
      <x:c r="D8" s="11" t="n">
        <x:v>8</x:v>
      </x:c>
      <x:c r="E8" s="10" t="str">
        <x:v>At Risk</x:v>
      </x:c>
      <x:c r="F8" s="17" t="n">
        <x:v>140697.04</x:v>
      </x:c>
    </x:row>
    <x:row r="9">
      <x:c r="A9" s="10" t="str">
        <x:v>CUSTOMER_0084</x:v>
      </x:c>
      <x:c r="B9" s="10" t="str">
        <x:v>Independent Retail Accounts</x:v>
      </x:c>
      <x:c r="C9" s="19" t="str">
        <x:v>2402</x:v>
      </x:c>
      <x:c r="D9" s="11" t="n">
        <x:v>10</x:v>
      </x:c>
      <x:c r="E9" s="10" t="str">
        <x:v>At Risk</x:v>
      </x:c>
      <x:c r="F9" s="17" t="n">
        <x:v>116104.7</x:v>
      </x:c>
    </x:row>
    <x:row r="10">
      <x:c r="A10" s="10" t="str">
        <x:v>CUSTOMER_2085</x:v>
      </x:c>
      <x:c r="B10" s="10" t="str">
        <x:v>Independent Retail Accounts</x:v>
      </x:c>
      <x:c r="C10" s="19" t="str">
        <x:v>2401</x:v>
      </x:c>
      <x:c r="D10" s="11" t="n">
        <x:v>11</x:v>
      </x:c>
      <x:c r="E10" s="10" t="str">
        <x:v>At Risk</x:v>
      </x:c>
      <x:c r="F10" s="17" t="n">
        <x:v>88149.22</x:v>
      </x:c>
    </x:row>
    <x:row r="11">
      <x:c r="A11" s="10" t="str">
        <x:v>CUSTOMER_1468</x:v>
      </x:c>
      <x:c r="B11" s="10" t="str">
        <x:v>Independent Retail Accounts</x:v>
      </x:c>
      <x:c r="C11" s="19" t="str">
        <x:v>2405</x:v>
      </x:c>
      <x:c r="D11" s="11" t="n">
        <x:v>7</x:v>
      </x:c>
      <x:c r="E11" s="10" t="str">
        <x:v>At Risk</x:v>
      </x:c>
      <x:c r="F11" s="17" t="n">
        <x:v>83047.12</x:v>
      </x:c>
    </x:row>
    <x:row r="12">
      <x:c r="A12" s="10" t="str">
        <x:v>CUSTOMER_2518</x:v>
      </x:c>
      <x:c r="B12" s="10" t="str">
        <x:v>Wholesale Trade Accounts</x:v>
      </x:c>
      <x:c r="C12" s="19" t="str">
        <x:v>2405</x:v>
      </x:c>
      <x:c r="D12" s="11" t="n">
        <x:v>7</x:v>
      </x:c>
      <x:c r="E12" s="10" t="str">
        <x:v>At Risk</x:v>
      </x:c>
      <x:c r="F12" s="17" t="n">
        <x:v>63131.53</x:v>
      </x:c>
    </x:row>
    <x:row r="13">
      <x:c r="A13" s="10" t="str">
        <x:v>CUSTOMER_1982</x:v>
      </x:c>
      <x:c r="B13" s="10" t="str">
        <x:v>Independent Retail Accounts</x:v>
      </x:c>
      <x:c r="C13" s="19" t="str">
        <x:v>2405</x:v>
      </x:c>
      <x:c r="D13" s="11" t="n">
        <x:v>7</x:v>
      </x:c>
      <x:c r="E13" s="10" t="str">
        <x:v>At Risk</x:v>
      </x:c>
      <x:c r="F13" s="17" t="n">
        <x:v>59008.97</x:v>
      </x:c>
    </x:row>
    <x:row r="14">
      <x:c r="A14" s="10" t="str">
        <x:v>CUSTOMER_3099</x:v>
      </x:c>
      <x:c r="B14" s="10" t="str">
        <x:v>Wholesale Trade Accounts</x:v>
      </x:c>
      <x:c r="C14" s="19" t="str">
        <x:v>2401</x:v>
      </x:c>
      <x:c r="D14" s="11" t="n">
        <x:v>11</x:v>
      </x:c>
      <x:c r="E14" s="10" t="str">
        <x:v>At Risk</x:v>
      </x:c>
      <x:c r="F14" s="17" t="n">
        <x:v>56297.78</x:v>
      </x:c>
    </x:row>
    <x:row r="15">
      <x:c r="A15" s="10" t="str">
        <x:v>CUSTOMER_1442</x:v>
      </x:c>
      <x:c r="B15" s="10" t="str">
        <x:v>Independent Retail Accounts</x:v>
      </x:c>
      <x:c r="C15" s="19" t="str">
        <x:v>2312</x:v>
      </x:c>
      <x:c r="D15" s="11" t="n">
        <x:v>12</x:v>
      </x:c>
      <x:c r="E15" s="10" t="str">
        <x:v>At Risk</x:v>
      </x:c>
      <x:c r="F15" s="17" t="n">
        <x:v>51528.53</x:v>
      </x:c>
    </x:row>
    <x:row r="16">
      <x:c r="A16" s="10" t="str">
        <x:v>CUSTOMER_1036</x:v>
      </x:c>
      <x:c r="B16" s="10" t="str">
        <x:v>Independent Retail Accounts</x:v>
      </x:c>
      <x:c r="C16" s="19" t="str">
        <x:v>2402</x:v>
      </x:c>
      <x:c r="D16" s="11" t="n">
        <x:v>10</x:v>
      </x:c>
      <x:c r="E16" s="10" t="str">
        <x:v>At Risk</x:v>
      </x:c>
      <x:c r="F16" s="17" t="n">
        <x:v>45237.81</x:v>
      </x:c>
    </x:row>
    <x:row r="17">
      <x:c r="A17" s="10" t="str">
        <x:v>CUSTOMER_2409</x:v>
      </x:c>
      <x:c r="B17" s="10" t="str">
        <x:v>Value-Oriented Retail Chain</x:v>
      </x:c>
      <x:c r="C17" s="19" t="str">
        <x:v>2403</x:v>
      </x:c>
      <x:c r="D17" s="11" t="n">
        <x:v>9</x:v>
      </x:c>
      <x:c r="E17" s="10" t="str">
        <x:v>At Risk</x:v>
      </x:c>
      <x:c r="F17" s="17" t="n">
        <x:v>43788.56</x:v>
      </x:c>
    </x:row>
    <x:row r="18">
      <x:c r="A18" s="10" t="str">
        <x:v>CUSTOMER_0394</x:v>
      </x:c>
      <x:c r="B18" s="10" t="str">
        <x:v>Independent Retail Accounts</x:v>
      </x:c>
      <x:c r="C18" s="19" t="str">
        <x:v>2405</x:v>
      </x:c>
      <x:c r="D18" s="11" t="n">
        <x:v>7</x:v>
      </x:c>
      <x:c r="E18" s="10" t="str">
        <x:v>At Risk</x:v>
      </x:c>
      <x:c r="F18" s="17" t="n">
        <x:v>42920.7</x:v>
      </x:c>
    </x:row>
    <x:row r="19">
      <x:c r="A19" s="10" t="str">
        <x:v>CUSTOMER_1414</x:v>
      </x:c>
      <x:c r="B19" s="10" t="str">
        <x:v>Wholesale Trade Accounts</x:v>
      </x:c>
      <x:c r="C19" s="19" t="str">
        <x:v>2405</x:v>
      </x:c>
      <x:c r="D19" s="11" t="n">
        <x:v>7</x:v>
      </x:c>
      <x:c r="E19" s="10" t="str">
        <x:v>At Risk</x:v>
      </x:c>
      <x:c r="F19" s="17" t="n">
        <x:v>40814.07</x:v>
      </x:c>
    </x:row>
    <x:row r="20">
      <x:c r="A20" s="10" t="str">
        <x:v>CUSTOMER_3178</x:v>
      </x:c>
      <x:c r="B20" s="10" t="str">
        <x:v>Commercial Service Accounts</x:v>
      </x:c>
      <x:c r="C20" s="19" t="str">
        <x:v>2405</x:v>
      </x:c>
      <x:c r="D20" s="11" t="n">
        <x:v>7</x:v>
      </x:c>
      <x:c r="E20" s="10" t="str">
        <x:v>At Risk</x:v>
      </x:c>
      <x:c r="F20" s="17" t="n">
        <x:v>31876.1</x:v>
      </x:c>
    </x:row>
    <x:row r="21">
      <x:c r="A21" s="10" t="str">
        <x:v>CUSTOMER_2123</x:v>
      </x:c>
      <x:c r="B21" s="10" t="str">
        <x:v>Independent Retail Accounts</x:v>
      </x:c>
      <x:c r="C21" s="19" t="str">
        <x:v>2405</x:v>
      </x:c>
      <x:c r="D21" s="11" t="n">
        <x:v>7</x:v>
      </x:c>
      <x:c r="E21" s="10" t="str">
        <x:v>At Risk</x:v>
      </x:c>
      <x:c r="F21" s="17" t="n">
        <x:v>31112.67</x:v>
      </x:c>
    </x:row>
    <x:row r="22">
      <x:c r="A22" s="10" t="str">
        <x:v>CUSTOMER_0741</x:v>
      </x:c>
      <x:c r="B22" s="10" t="str">
        <x:v>Independent Retail Accounts</x:v>
      </x:c>
      <x:c r="C22" s="19" t="str">
        <x:v>2404</x:v>
      </x:c>
      <x:c r="D22" s="11" t="n">
        <x:v>8</x:v>
      </x:c>
      <x:c r="E22" s="10" t="str">
        <x:v>At Risk</x:v>
      </x:c>
      <x:c r="F22" s="17" t="n">
        <x:v>30814.99</x:v>
      </x:c>
    </x:row>
    <x:row r="23">
      <x:c r="A23" s="10" t="str">
        <x:v>CUSTOMER_1187</x:v>
      </x:c>
      <x:c r="B23" s="10" t="str">
        <x:v>Retail Cooperative Network</x:v>
      </x:c>
      <x:c r="C23" s="19" t="str">
        <x:v>2401</x:v>
      </x:c>
      <x:c r="D23" s="11" t="n">
        <x:v>11</x:v>
      </x:c>
      <x:c r="E23" s="10" t="str">
        <x:v>At Risk</x:v>
      </x:c>
      <x:c r="F23" s="17" t="n">
        <x:v>30543.37</x:v>
      </x:c>
    </x:row>
    <x:row r="24">
      <x:c r="A24" s="10" t="str">
        <x:v>CUSTOMER_1556</x:v>
      </x:c>
      <x:c r="B24" s="10" t="str">
        <x:v>National Retail Chains</x:v>
      </x:c>
      <x:c r="C24" s="19" t="str">
        <x:v>2401</x:v>
      </x:c>
      <x:c r="D24" s="11" t="n">
        <x:v>11</x:v>
      </x:c>
      <x:c r="E24" s="10" t="str">
        <x:v>At Risk</x:v>
      </x:c>
      <x:c r="F24" s="17" t="n">
        <x:v>28592.45</x:v>
      </x:c>
    </x:row>
    <x:row r="25">
      <x:c r="A25" s="10" t="str">
        <x:v>CUSTOMER_2064</x:v>
      </x:c>
      <x:c r="B25" s="10" t="str">
        <x:v>Independent Retail Accounts</x:v>
      </x:c>
      <x:c r="C25" s="19" t="str">
        <x:v>2312</x:v>
      </x:c>
      <x:c r="D25" s="11" t="n">
        <x:v>12</x:v>
      </x:c>
      <x:c r="E25" s="10" t="str">
        <x:v>At Risk</x:v>
      </x:c>
      <x:c r="F25" s="17" t="n">
        <x:v>28206.5</x:v>
      </x:c>
    </x:row>
    <x:row r="26">
      <x:c r="A26" s="10" t="str">
        <x:v>CUSTOMER_1159</x:v>
      </x:c>
      <x:c r="B26" s="10" t="str">
        <x:v>Independent Retail Accounts</x:v>
      </x:c>
      <x:c r="C26" s="19" t="str">
        <x:v>2402</x:v>
      </x:c>
      <x:c r="D26" s="11" t="n">
        <x:v>10</x:v>
      </x:c>
      <x:c r="E26" s="10" t="str">
        <x:v>At Risk</x:v>
      </x:c>
      <x:c r="F26" s="17" t="n">
        <x:v>25811.4</x:v>
      </x:c>
    </x:row>
    <x:row r="27">
      <x:c r="A27" s="10" t="str">
        <x:v>CUSTOMER_2990</x:v>
      </x:c>
      <x:c r="B27" s="10" t="str">
        <x:v>Commercial Service Accounts</x:v>
      </x:c>
      <x:c r="C27" s="19" t="str">
        <x:v>2404</x:v>
      </x:c>
      <x:c r="D27" s="11" t="n">
        <x:v>8</x:v>
      </x:c>
      <x:c r="E27" s="10" t="str">
        <x:v>At Risk</x:v>
      </x:c>
      <x:c r="F27" s="17" t="n">
        <x:v>25083.62</x:v>
      </x:c>
    </x:row>
    <x:row r="28">
      <x:c r="A28" s="10" t="str">
        <x:v>CUSTOMER_1652</x:v>
      </x:c>
      <x:c r="B28" s="10" t="str">
        <x:v>Independent Retail Accounts</x:v>
      </x:c>
      <x:c r="C28" s="19" t="str">
        <x:v>2404</x:v>
      </x:c>
      <x:c r="D28" s="11" t="n">
        <x:v>8</x:v>
      </x:c>
      <x:c r="E28" s="10" t="str">
        <x:v>At Risk</x:v>
      </x:c>
      <x:c r="F28" s="17" t="n">
        <x:v>24251.33</x:v>
      </x:c>
    </x:row>
    <x:row r="29">
      <x:c r="A29" s="10" t="str">
        <x:v>CUSTOMER_1965</x:v>
      </x:c>
      <x:c r="B29" s="10" t="str">
        <x:v>Independent Retail Accounts</x:v>
      </x:c>
      <x:c r="C29" s="19" t="str">
        <x:v>2402</x:v>
      </x:c>
      <x:c r="D29" s="11" t="n">
        <x:v>10</x:v>
      </x:c>
      <x:c r="E29" s="10" t="str">
        <x:v>At Risk</x:v>
      </x:c>
      <x:c r="F29" s="17" t="n">
        <x:v>24128.94</x:v>
      </x:c>
    </x:row>
    <x:row r="30">
      <x:c r="A30" s="10" t="str">
        <x:v>CUSTOMER_1989</x:v>
      </x:c>
      <x:c r="B30" s="10" t="str">
        <x:v>Independent Retail Accounts</x:v>
      </x:c>
      <x:c r="C30" s="19" t="str">
        <x:v>2404</x:v>
      </x:c>
      <x:c r="D30" s="11" t="n">
        <x:v>8</x:v>
      </x:c>
      <x:c r="E30" s="10" t="str">
        <x:v>At Risk</x:v>
      </x:c>
      <x:c r="F30" s="17" t="n">
        <x:v>24114.37</x:v>
      </x:c>
    </x:row>
    <x:row r="31">
      <x:c r="A31" s="10" t="str">
        <x:v>CUSTOMER_3122</x:v>
      </x:c>
      <x:c r="B31" s="10" t="str">
        <x:v>Wholesale Trade Accounts</x:v>
      </x:c>
      <x:c r="C31" s="19" t="str">
        <x:v>2401</x:v>
      </x:c>
      <x:c r="D31" s="11" t="n">
        <x:v>11</x:v>
      </x:c>
      <x:c r="E31" s="10" t="str">
        <x:v>At Risk</x:v>
      </x:c>
      <x:c r="F31" s="17" t="n">
        <x:v>23852.63</x:v>
      </x:c>
    </x:row>
    <x:row r="32">
      <x:c r="A32" s="10" t="str">
        <x:v>CUSTOMER_0727</x:v>
      </x:c>
      <x:c r="B32" s="10" t="str">
        <x:v>Independent Retail Accounts</x:v>
      </x:c>
      <x:c r="C32" s="19" t="str">
        <x:v>2403</x:v>
      </x:c>
      <x:c r="D32" s="11" t="n">
        <x:v>9</x:v>
      </x:c>
      <x:c r="E32" s="10" t="str">
        <x:v>At Risk</x:v>
      </x:c>
      <x:c r="F32" s="17" t="n">
        <x:v>22968.67</x:v>
      </x:c>
    </x:row>
    <x:row r="33">
      <x:c r="A33" s="10" t="str">
        <x:v>CUSTOMER_2525</x:v>
      </x:c>
      <x:c r="B33" s="10" t="str">
        <x:v>Wholesale Trade Accounts</x:v>
      </x:c>
      <x:c r="C33" s="19" t="str">
        <x:v>2312</x:v>
      </x:c>
      <x:c r="D33" s="11" t="n">
        <x:v>12</x:v>
      </x:c>
      <x:c r="E33" s="10" t="str">
        <x:v>At Risk</x:v>
      </x:c>
      <x:c r="F33" s="17" t="n">
        <x:v>22872.31</x:v>
      </x:c>
    </x:row>
    <x:row r="34">
      <x:c r="A34" s="10" t="str">
        <x:v>CUSTOMER_0149</x:v>
      </x:c>
      <x:c r="B34" s="10" t="str">
        <x:v>Wholesale Trade Accounts</x:v>
      </x:c>
      <x:c r="C34" s="19" t="str">
        <x:v>2402</x:v>
      </x:c>
      <x:c r="D34" s="11" t="n">
        <x:v>10</x:v>
      </x:c>
      <x:c r="E34" s="10" t="str">
        <x:v>At Risk</x:v>
      </x:c>
      <x:c r="F34" s="17" t="n">
        <x:v>21557.22</x:v>
      </x:c>
    </x:row>
    <x:row r="35">
      <x:c r="A35" s="10" t="str">
        <x:v>CUSTOMER_1969</x:v>
      </x:c>
      <x:c r="B35" s="10" t="str">
        <x:v>Independent Retail Accounts</x:v>
      </x:c>
      <x:c r="C35" s="19" t="str">
        <x:v>2403</x:v>
      </x:c>
      <x:c r="D35" s="11" t="n">
        <x:v>9</x:v>
      </x:c>
      <x:c r="E35" s="10" t="str">
        <x:v>At Risk</x:v>
      </x:c>
      <x:c r="F35" s="17" t="n">
        <x:v>21477.18</x:v>
      </x:c>
    </x:row>
    <x:row r="36">
      <x:c r="A36" s="10" t="str">
        <x:v>CUSTOMER_2785</x:v>
      </x:c>
      <x:c r="B36" s="10" t="str">
        <x:v>Commercial Service Accounts</x:v>
      </x:c>
      <x:c r="C36" s="19" t="str">
        <x:v>2402</x:v>
      </x:c>
      <x:c r="D36" s="11" t="n">
        <x:v>10</x:v>
      </x:c>
      <x:c r="E36" s="10" t="str">
        <x:v>At Risk</x:v>
      </x:c>
      <x:c r="F36" s="17" t="n">
        <x:v>20909.01</x:v>
      </x:c>
    </x:row>
    <x:row r="37">
      <x:c r="A37" s="10" t="str">
        <x:v>CUSTOMER_1574</x:v>
      </x:c>
      <x:c r="B37" s="10" t="str">
        <x:v>Independent Retail Accounts</x:v>
      </x:c>
      <x:c r="C37" s="19" t="str">
        <x:v>2403</x:v>
      </x:c>
      <x:c r="D37" s="11" t="n">
        <x:v>9</x:v>
      </x:c>
      <x:c r="E37" s="10" t="str">
        <x:v>At Risk</x:v>
      </x:c>
      <x:c r="F37" s="17" t="n">
        <x:v>20853.97</x:v>
      </x:c>
    </x:row>
    <x:row r="38">
      <x:c r="A38" s="10" t="str">
        <x:v>CUSTOMER_1957</x:v>
      </x:c>
      <x:c r="B38" s="10" t="str">
        <x:v>Independent Retail Accounts</x:v>
      </x:c>
      <x:c r="C38" s="19" t="str">
        <x:v>2402</x:v>
      </x:c>
      <x:c r="D38" s="11" t="n">
        <x:v>10</x:v>
      </x:c>
      <x:c r="E38" s="10" t="str">
        <x:v>At Risk</x:v>
      </x:c>
      <x:c r="F38" s="17" t="n">
        <x:v>20130.37</x:v>
      </x:c>
    </x:row>
    <x:row r="39">
      <x:c r="A39" s="10" t="str">
        <x:v>CUSTOMER_3149</x:v>
      </x:c>
      <x:c r="B39" s="10" t="str">
        <x:v>Wholesale Trade Accounts</x:v>
      </x:c>
      <x:c r="C39" s="19" t="str">
        <x:v>2405</x:v>
      </x:c>
      <x:c r="D39" s="11" t="n">
        <x:v>7</x:v>
      </x:c>
      <x:c r="E39" s="10" t="str">
        <x:v>At Risk</x:v>
      </x:c>
      <x:c r="F39" s="17" t="n">
        <x:v>18881.85</x:v>
      </x:c>
    </x:row>
    <x:row r="40">
      <x:c r="A40" s="10" t="str">
        <x:v>CUSTOMER_2105</x:v>
      </x:c>
      <x:c r="B40" s="10" t="str">
        <x:v>Independent Retail Accounts</x:v>
      </x:c>
      <x:c r="C40" s="19" t="str">
        <x:v>2404</x:v>
      </x:c>
      <x:c r="D40" s="11" t="n">
        <x:v>8</x:v>
      </x:c>
      <x:c r="E40" s="10" t="str">
        <x:v>At Risk</x:v>
      </x:c>
      <x:c r="F40" s="17" t="n">
        <x:v>17635.2</x:v>
      </x:c>
    </x:row>
    <x:row r="41">
      <x:c r="A41" s="10" t="str">
        <x:v>CUSTOMER_2459</x:v>
      </x:c>
      <x:c r="B41" s="10" t="str">
        <x:v>Commercial Service Accounts</x:v>
      </x:c>
      <x:c r="C41" s="19" t="str">
        <x:v>2404</x:v>
      </x:c>
      <x:c r="D41" s="11" t="n">
        <x:v>8</x:v>
      </x:c>
      <x:c r="E41" s="10" t="str">
        <x:v>At Risk</x:v>
      </x:c>
      <x:c r="F41" s="17" t="n">
        <x:v>17559.59</x:v>
      </x:c>
    </x:row>
    <x:row r="42">
      <x:c r="A42" s="10" t="str">
        <x:v>CUSTOMER_2767</x:v>
      </x:c>
      <x:c r="B42" s="10" t="str">
        <x:v>Commercial Service Accounts</x:v>
      </x:c>
      <x:c r="C42" s="19" t="str">
        <x:v>2402</x:v>
      </x:c>
      <x:c r="D42" s="11" t="n">
        <x:v>10</x:v>
      </x:c>
      <x:c r="E42" s="10" t="str">
        <x:v>At Risk</x:v>
      </x:c>
      <x:c r="F42" s="17" t="n">
        <x:v>16857.28</x:v>
      </x:c>
    </x:row>
    <x:row r="43">
      <x:c r="A43" s="10" t="str">
        <x:v>CUSTOMER_1305</x:v>
      </x:c>
      <x:c r="B43" s="10" t="str">
        <x:v>Retail Cooperative Network</x:v>
      </x:c>
      <x:c r="C43" s="19" t="str">
        <x:v>2402</x:v>
      </x:c>
      <x:c r="D43" s="11" t="n">
        <x:v>10</x:v>
      </x:c>
      <x:c r="E43" s="10" t="str">
        <x:v>At Risk</x:v>
      </x:c>
      <x:c r="F43" s="17" t="n">
        <x:v>15407.31</x:v>
      </x:c>
    </x:row>
    <x:row r="44">
      <x:c r="A44" s="10" t="str">
        <x:v>CUSTOMER_1578</x:v>
      </x:c>
      <x:c r="B44" s="10" t="str">
        <x:v>Independent Retail Accounts</x:v>
      </x:c>
      <x:c r="C44" s="19" t="str">
        <x:v>2312</x:v>
      </x:c>
      <x:c r="D44" s="11" t="n">
        <x:v>12</x:v>
      </x:c>
      <x:c r="E44" s="10" t="str">
        <x:v>At Risk</x:v>
      </x:c>
      <x:c r="F44" s="17" t="n">
        <x:v>14405.78</x:v>
      </x:c>
    </x:row>
    <x:row r="45">
      <x:c r="A45" s="10" t="str">
        <x:v>CUSTOMER_0748</x:v>
      </x:c>
      <x:c r="B45" s="10" t="str">
        <x:v>Commercial Service Accounts</x:v>
      </x:c>
      <x:c r="C45" s="19" t="str">
        <x:v>2312</x:v>
      </x:c>
      <x:c r="D45" s="11" t="n">
        <x:v>12</x:v>
      </x:c>
      <x:c r="E45" s="10" t="str">
        <x:v>At Risk</x:v>
      </x:c>
      <x:c r="F45" s="17" t="n">
        <x:v>14061.89</x:v>
      </x:c>
    </x:row>
    <x:row r="46">
      <x:c r="A46" s="10" t="str">
        <x:v>CUSTOMER_3037</x:v>
      </x:c>
      <x:c r="B46" s="10" t="str">
        <x:v>Metropolitan Retail Group</x:v>
      </x:c>
      <x:c r="C46" s="19" t="str">
        <x:v>2403</x:v>
      </x:c>
      <x:c r="D46" s="11" t="n">
        <x:v>9</x:v>
      </x:c>
      <x:c r="E46" s="10" t="str">
        <x:v>At Risk</x:v>
      </x:c>
      <x:c r="F46" s="17" t="n">
        <x:v>13418.78</x:v>
      </x:c>
    </x:row>
    <x:row r="47">
      <x:c r="A47" s="10" t="str">
        <x:v>CUSTOMER_1167</x:v>
      </x:c>
      <x:c r="B47" s="10" t="str">
        <x:v>Independent Retail Accounts</x:v>
      </x:c>
      <x:c r="C47" s="19" t="str">
        <x:v>2403</x:v>
      </x:c>
      <x:c r="D47" s="11" t="n">
        <x:v>9</x:v>
      </x:c>
      <x:c r="E47" s="10" t="str">
        <x:v>At Risk</x:v>
      </x:c>
      <x:c r="F47" s="17" t="n">
        <x:v>13131.86</x:v>
      </x:c>
    </x:row>
    <x:row r="48">
      <x:c r="A48" s="10" t="str">
        <x:v>CUSTOMER_0737</x:v>
      </x:c>
      <x:c r="B48" s="10" t="str">
        <x:v>Commercial Service Accounts</x:v>
      </x:c>
      <x:c r="C48" s="19" t="str">
        <x:v>2402</x:v>
      </x:c>
      <x:c r="D48" s="11" t="n">
        <x:v>10</x:v>
      </x:c>
      <x:c r="E48" s="10" t="str">
        <x:v>At Risk</x:v>
      </x:c>
      <x:c r="F48" s="17" t="n">
        <x:v>12973.9</x:v>
      </x:c>
    </x:row>
    <x:row r="49">
      <x:c r="A49" s="10" t="str">
        <x:v>CUSTOMER_0609</x:v>
      </x:c>
      <x:c r="B49" s="10" t="str">
        <x:v>Wholesale Trade Accounts</x:v>
      </x:c>
      <x:c r="C49" s="19" t="str">
        <x:v>2403</x:v>
      </x:c>
      <x:c r="D49" s="11" t="n">
        <x:v>9</x:v>
      </x:c>
      <x:c r="E49" s="10" t="str">
        <x:v>At Risk</x:v>
      </x:c>
      <x:c r="F49" s="17" t="n">
        <x:v>12183.25</x:v>
      </x:c>
    </x:row>
    <x:row r="50">
      <x:c r="A50" s="10" t="str">
        <x:v>CUSTOMER_0298</x:v>
      </x:c>
      <x:c r="B50" s="10" t="str">
        <x:v>Commercial Service Accounts</x:v>
      </x:c>
      <x:c r="C50" s="19" t="str">
        <x:v>2312</x:v>
      </x:c>
      <x:c r="D50" s="11" t="n">
        <x:v>12</x:v>
      </x:c>
      <x:c r="E50" s="10" t="str">
        <x:v>At Risk</x:v>
      </x:c>
      <x:c r="F50" s="17" t="n">
        <x:v>11377.51</x:v>
      </x:c>
    </x:row>
    <x:row r="51">
      <x:c r="A51" s="10" t="str">
        <x:v>CUSTOMER_2536</x:v>
      </x:c>
      <x:c r="B51" s="10" t="str">
        <x:v>Commercial Service Accounts</x:v>
      </x:c>
      <x:c r="C51" s="19" t="str">
        <x:v>2312</x:v>
      </x:c>
      <x:c r="D51" s="11" t="n">
        <x:v>12</x:v>
      </x:c>
      <x:c r="E51" s="10" t="str">
        <x:v>At Risk</x:v>
      </x:c>
      <x:c r="F51" s="17" t="n">
        <x:v>10762.16</x:v>
      </x:c>
    </x:row>
    <x:row r="52">
      <x:c r="A52" s="10" t="str">
        <x:v>CUSTOMER_1087</x:v>
      </x:c>
      <x:c r="B52" s="10" t="str">
        <x:v>Independent Retail Accounts</x:v>
      </x:c>
      <x:c r="C52" s="19" t="str">
        <x:v>2402</x:v>
      </x:c>
      <x:c r="D52" s="11" t="n">
        <x:v>10</x:v>
      </x:c>
      <x:c r="E52" s="10" t="str">
        <x:v>At Risk</x:v>
      </x:c>
      <x:c r="F52" s="17" t="n">
        <x:v>10608.74</x:v>
      </x:c>
    </x:row>
    <x:row r="53">
      <x:c r="A53" s="10" t="str">
        <x:v>CUSTOMER_1735</x:v>
      </x:c>
      <x:c r="B53" s="10" t="str">
        <x:v>Independent Retail Accounts</x:v>
      </x:c>
      <x:c r="C53" s="19" t="str">
        <x:v>2403</x:v>
      </x:c>
      <x:c r="D53" s="11" t="n">
        <x:v>9</x:v>
      </x:c>
      <x:c r="E53" s="10" t="str">
        <x:v>At Risk</x:v>
      </x:c>
      <x:c r="F53" s="17" t="n">
        <x:v>10333.44</x:v>
      </x:c>
    </x:row>
    <x:row r="54">
      <x:c r="A54" s="10" t="str">
        <x:v>CUSTOMER_1483</x:v>
      </x:c>
      <x:c r="B54" s="10" t="str">
        <x:v>Independent Retail Accounts</x:v>
      </x:c>
      <x:c r="C54" s="19" t="str">
        <x:v>2403</x:v>
      </x:c>
      <x:c r="D54" s="11" t="n">
        <x:v>9</x:v>
      </x:c>
      <x:c r="E54" s="10" t="str">
        <x:v>At Risk</x:v>
      </x:c>
      <x:c r="F54" s="17" t="n">
        <x:v>9318.4</x:v>
      </x:c>
    </x:row>
    <x:row r="55">
      <x:c r="A55" s="10" t="str">
        <x:v>CUSTOMER_1407</x:v>
      </x:c>
      <x:c r="B55" s="10" t="str">
        <x:v>Commercial Service Accounts</x:v>
      </x:c>
      <x:c r="C55" s="19" t="str">
        <x:v>2401</x:v>
      </x:c>
      <x:c r="D55" s="11" t="n">
        <x:v>11</x:v>
      </x:c>
      <x:c r="E55" s="10" t="str">
        <x:v>At Risk</x:v>
      </x:c>
      <x:c r="F55" s="17" t="n">
        <x:v>9041.24</x:v>
      </x:c>
    </x:row>
    <x:row r="56">
      <x:c r="A56" s="10" t="str">
        <x:v>CUSTOMER_1097</x:v>
      </x:c>
      <x:c r="B56" s="10" t="str">
        <x:v>Independent Retail Accounts</x:v>
      </x:c>
      <x:c r="C56" s="19" t="str">
        <x:v>2401</x:v>
      </x:c>
      <x:c r="D56" s="11" t="n">
        <x:v>11</x:v>
      </x:c>
      <x:c r="E56" s="10" t="str">
        <x:v>At Risk</x:v>
      </x:c>
      <x:c r="F56" s="17" t="n">
        <x:v>8956.83</x:v>
      </x:c>
    </x:row>
    <x:row r="57">
      <x:c r="A57" s="10" t="str">
        <x:v>CUSTOMER_2996</x:v>
      </x:c>
      <x:c r="B57" s="10" t="str">
        <x:v>Retail Cooperative Network</x:v>
      </x:c>
      <x:c r="C57" s="19" t="str">
        <x:v>2402</x:v>
      </x:c>
      <x:c r="D57" s="11" t="n">
        <x:v>10</x:v>
      </x:c>
      <x:c r="E57" s="10" t="str">
        <x:v>At Risk</x:v>
      </x:c>
      <x:c r="F57" s="17" t="n">
        <x:v>8920.92</x:v>
      </x:c>
    </x:row>
    <x:row r="58">
      <x:c r="A58" s="10" t="str">
        <x:v>CUSTOMER_1619</x:v>
      </x:c>
      <x:c r="B58" s="10" t="str">
        <x:v>Independent Retail Accounts</x:v>
      </x:c>
      <x:c r="C58" s="19" t="str">
        <x:v>2405</x:v>
      </x:c>
      <x:c r="D58" s="11" t="n">
        <x:v>7</x:v>
      </x:c>
      <x:c r="E58" s="10" t="str">
        <x:v>At Risk</x:v>
      </x:c>
      <x:c r="F58" s="17" t="n">
        <x:v>8612.02</x:v>
      </x:c>
    </x:row>
    <x:row r="59">
      <x:c r="A59" s="10" t="str">
        <x:v>CUSTOMER_2737</x:v>
      </x:c>
      <x:c r="B59" s="10" t="str">
        <x:v>Commercial Service Accounts</x:v>
      </x:c>
      <x:c r="C59" s="19" t="str">
        <x:v>2405</x:v>
      </x:c>
      <x:c r="D59" s="11" t="n">
        <x:v>7</x:v>
      </x:c>
      <x:c r="E59" s="10" t="str">
        <x:v>At Risk</x:v>
      </x:c>
      <x:c r="F59" s="17" t="n">
        <x:v>8417.69</x:v>
      </x:c>
    </x:row>
    <x:row r="60">
      <x:c r="A60" s="10" t="str">
        <x:v>CUSTOMER_2467</x:v>
      </x:c>
      <x:c r="B60" s="10" t="str">
        <x:v>Independent Retail Accounts</x:v>
      </x:c>
      <x:c r="C60" s="19" t="str">
        <x:v>2403</x:v>
      </x:c>
      <x:c r="D60" s="11" t="n">
        <x:v>9</x:v>
      </x:c>
      <x:c r="E60" s="10" t="str">
        <x:v>At Risk</x:v>
      </x:c>
      <x:c r="F60" s="17" t="n">
        <x:v>8336.33</x:v>
      </x:c>
    </x:row>
    <x:row r="61">
      <x:c r="A61" s="10" t="str">
        <x:v>CUSTOMER_1096</x:v>
      </x:c>
      <x:c r="B61" s="10" t="str">
        <x:v>Independent Retail Accounts</x:v>
      </x:c>
      <x:c r="C61" s="19" t="str">
        <x:v>2401</x:v>
      </x:c>
      <x:c r="D61" s="11" t="n">
        <x:v>11</x:v>
      </x:c>
      <x:c r="E61" s="10" t="str">
        <x:v>At Risk</x:v>
      </x:c>
      <x:c r="F61" s="17" t="n">
        <x:v>8305.96</x:v>
      </x:c>
    </x:row>
    <x:row r="62">
      <x:c r="A62" s="10" t="str">
        <x:v>CUSTOMER_2977</x:v>
      </x:c>
      <x:c r="B62" s="10" t="str">
        <x:v>Commercial Service Accounts</x:v>
      </x:c>
      <x:c r="C62" s="19" t="str">
        <x:v>2403</x:v>
      </x:c>
      <x:c r="D62" s="11" t="n">
        <x:v>9</x:v>
      </x:c>
      <x:c r="E62" s="10" t="str">
        <x:v>At Risk</x:v>
      </x:c>
      <x:c r="F62" s="17" t="n">
        <x:v>8099.13</x:v>
      </x:c>
    </x:row>
    <x:row r="63">
      <x:c r="A63" s="10" t="str">
        <x:v>CUSTOMER_1093</x:v>
      </x:c>
      <x:c r="B63" s="10" t="str">
        <x:v>Independent Retail Accounts</x:v>
      </x:c>
      <x:c r="C63" s="19" t="str">
        <x:v>2402</x:v>
      </x:c>
      <x:c r="D63" s="11" t="n">
        <x:v>10</x:v>
      </x:c>
      <x:c r="E63" s="10" t="str">
        <x:v>At Risk</x:v>
      </x:c>
      <x:c r="F63" s="17" t="n">
        <x:v>8004.36</x:v>
      </x:c>
    </x:row>
    <x:row r="64">
      <x:c r="A64" s="10" t="str">
        <x:v>CUSTOMER_0712</x:v>
      </x:c>
      <x:c r="B64" s="10" t="str">
        <x:v>Independent Retail Accounts</x:v>
      </x:c>
      <x:c r="C64" s="19" t="str">
        <x:v>2405</x:v>
      </x:c>
      <x:c r="D64" s="11" t="n">
        <x:v>7</x:v>
      </x:c>
      <x:c r="E64" s="10" t="str">
        <x:v>At Risk</x:v>
      </x:c>
      <x:c r="F64" s="17" t="n">
        <x:v>7987.78</x:v>
      </x:c>
    </x:row>
    <x:row r="65">
      <x:c r="A65" s="10" t="str">
        <x:v>CUSTOMER_1094</x:v>
      </x:c>
      <x:c r="B65" s="10" t="str">
        <x:v>Independent Retail Accounts</x:v>
      </x:c>
      <x:c r="C65" s="19" t="str">
        <x:v>2401</x:v>
      </x:c>
      <x:c r="D65" s="11" t="n">
        <x:v>11</x:v>
      </x:c>
      <x:c r="E65" s="10" t="str">
        <x:v>At Risk</x:v>
      </x:c>
      <x:c r="F65" s="17" t="n">
        <x:v>7949.12</x:v>
      </x:c>
    </x:row>
    <x:row r="66">
      <x:c r="A66" s="10" t="str">
        <x:v>CUSTOMER_1573</x:v>
      </x:c>
      <x:c r="B66" s="10" t="str">
        <x:v>Wholesale Trade Accounts</x:v>
      </x:c>
      <x:c r="C66" s="19" t="str">
        <x:v>2312</x:v>
      </x:c>
      <x:c r="D66" s="11" t="n">
        <x:v>12</x:v>
      </x:c>
      <x:c r="E66" s="10" t="str">
        <x:v>At Risk</x:v>
      </x:c>
      <x:c r="F66" s="17" t="n">
        <x:v>7762.93</x:v>
      </x:c>
    </x:row>
    <x:row r="67">
      <x:c r="A67" s="10" t="str">
        <x:v>CUSTOMER_2522</x:v>
      </x:c>
      <x:c r="B67" s="10" t="str">
        <x:v>Independent Retail Accounts</x:v>
      </x:c>
      <x:c r="C67" s="19" t="str">
        <x:v>2405</x:v>
      </x:c>
      <x:c r="D67" s="11" t="n">
        <x:v>7</x:v>
      </x:c>
      <x:c r="E67" s="10" t="str">
        <x:v>At Risk</x:v>
      </x:c>
      <x:c r="F67" s="17" t="n">
        <x:v>7337.84</x:v>
      </x:c>
    </x:row>
    <x:row r="68">
      <x:c r="A68" s="10" t="str">
        <x:v>CUSTOMER_2660</x:v>
      </x:c>
      <x:c r="B68" s="10" t="str">
        <x:v>Commercial Service Accounts</x:v>
      </x:c>
      <x:c r="C68" s="19" t="str">
        <x:v>2312</x:v>
      </x:c>
      <x:c r="D68" s="11" t="n">
        <x:v>12</x:v>
      </x:c>
      <x:c r="E68" s="10" t="str">
        <x:v>At Risk</x:v>
      </x:c>
      <x:c r="F68" s="17" t="n">
        <x:v>7299.3</x:v>
      </x:c>
    </x:row>
    <x:row r="69">
      <x:c r="A69" s="10" t="str">
        <x:v>CUSTOMER_0267</x:v>
      </x:c>
      <x:c r="B69" s="10" t="str">
        <x:v>Independent Retail Accounts</x:v>
      </x:c>
      <x:c r="C69" s="19" t="str">
        <x:v>2405</x:v>
      </x:c>
      <x:c r="D69" s="11" t="n">
        <x:v>7</x:v>
      </x:c>
      <x:c r="E69" s="10" t="str">
        <x:v>At Risk</x:v>
      </x:c>
      <x:c r="F69" s="17" t="n">
        <x:v>7134.24</x:v>
      </x:c>
    </x:row>
    <x:row r="70">
      <x:c r="A70" s="10" t="str">
        <x:v>CUSTOMER_1402</x:v>
      </x:c>
      <x:c r="B70" s="10" t="str">
        <x:v>Independent Retail Accounts</x:v>
      </x:c>
      <x:c r="C70" s="19" t="str">
        <x:v>2401</x:v>
      </x:c>
      <x:c r="D70" s="11" t="n">
        <x:v>11</x:v>
      </x:c>
      <x:c r="E70" s="10" t="str">
        <x:v>At Risk</x:v>
      </x:c>
      <x:c r="F70" s="17" t="n">
        <x:v>7048.74</x:v>
      </x:c>
    </x:row>
    <x:row r="71">
      <x:c r="A71" s="10" t="str">
        <x:v>CUSTOMER_3187</x:v>
      </x:c>
      <x:c r="B71" s="10" t="str">
        <x:v>National Retail Chains</x:v>
      </x:c>
      <x:c r="C71" s="19" t="str">
        <x:v>2403</x:v>
      </x:c>
      <x:c r="D71" s="11" t="n">
        <x:v>9</x:v>
      </x:c>
      <x:c r="E71" s="10" t="str">
        <x:v>At Risk</x:v>
      </x:c>
      <x:c r="F71" s="17" t="n">
        <x:v>7016.24</x:v>
      </x:c>
    </x:row>
    <x:row r="72">
      <x:c r="A72" s="10" t="str">
        <x:v>CUSTOMER_2900</x:v>
      </x:c>
      <x:c r="B72" s="10" t="str">
        <x:v>Specialty Retail – Small Format</x:v>
      </x:c>
      <x:c r="C72" s="19" t="str">
        <x:v>2402</x:v>
      </x:c>
      <x:c r="D72" s="11" t="n">
        <x:v>10</x:v>
      </x:c>
      <x:c r="E72" s="10" t="str">
        <x:v>At Risk</x:v>
      </x:c>
      <x:c r="F72" s="17" t="n">
        <x:v>6867.46</x:v>
      </x:c>
    </x:row>
    <x:row r="73">
      <x:c r="A73" s="10" t="str">
        <x:v>CUSTOMER_1095</x:v>
      </x:c>
      <x:c r="B73" s="10" t="str">
        <x:v>Independent Retail Accounts</x:v>
      </x:c>
      <x:c r="C73" s="19" t="str">
        <x:v>2401</x:v>
      </x:c>
      <x:c r="D73" s="11" t="n">
        <x:v>11</x:v>
      </x:c>
      <x:c r="E73" s="10" t="str">
        <x:v>At Risk</x:v>
      </x:c>
      <x:c r="F73" s="17" t="n">
        <x:v>6863.27</x:v>
      </x:c>
    </x:row>
    <x:row r="74">
      <x:c r="A74" s="10" t="str">
        <x:v>CUSTOMER_1536</x:v>
      </x:c>
      <x:c r="B74" s="10" t="str">
        <x:v>Independent Retail Accounts</x:v>
      </x:c>
      <x:c r="C74" s="19" t="str">
        <x:v>2404</x:v>
      </x:c>
      <x:c r="D74" s="11" t="n">
        <x:v>8</x:v>
      </x:c>
      <x:c r="E74" s="10" t="str">
        <x:v>At Risk</x:v>
      </x:c>
      <x:c r="F74" s="17" t="n">
        <x:v>6768.18</x:v>
      </x:c>
    </x:row>
    <x:row r="75">
      <x:c r="A75" s="10" t="str">
        <x:v>CUSTOMER_1074</x:v>
      </x:c>
      <x:c r="B75" s="10" t="str">
        <x:v>Independent Retail Accounts</x:v>
      </x:c>
      <x:c r="C75" s="19" t="str">
        <x:v>2312</x:v>
      </x:c>
      <x:c r="D75" s="11" t="n">
        <x:v>12</x:v>
      </x:c>
      <x:c r="E75" s="10" t="str">
        <x:v>At Risk</x:v>
      </x:c>
      <x:c r="F75" s="17" t="n">
        <x:v>6731.99</x:v>
      </x:c>
    </x:row>
    <x:row r="76">
      <x:c r="A76" s="10" t="str">
        <x:v>CUSTOMER_1092</x:v>
      </x:c>
      <x:c r="B76" s="10" t="str">
        <x:v>Independent Retail Accounts</x:v>
      </x:c>
      <x:c r="C76" s="19" t="str">
        <x:v>2312</x:v>
      </x:c>
      <x:c r="D76" s="11" t="n">
        <x:v>12</x:v>
      </x:c>
      <x:c r="E76" s="10" t="str">
        <x:v>At Risk</x:v>
      </x:c>
      <x:c r="F76" s="17" t="n">
        <x:v>6670.48</x:v>
      </x:c>
    </x:row>
    <x:row r="77">
      <x:c r="A77" s="10" t="str">
        <x:v>CUSTOMER_0216</x:v>
      </x:c>
      <x:c r="B77" s="10" t="str">
        <x:v>Independent Retail Accounts</x:v>
      </x:c>
      <x:c r="C77" s="19" t="str">
        <x:v>2405</x:v>
      </x:c>
      <x:c r="D77" s="11" t="n">
        <x:v>7</x:v>
      </x:c>
      <x:c r="E77" s="10" t="str">
        <x:v>At Risk</x:v>
      </x:c>
      <x:c r="F77" s="17" t="n">
        <x:v>6087.29</x:v>
      </x:c>
    </x:row>
    <x:row r="78">
      <x:c r="A78" s="10" t="str">
        <x:v>CUSTOMER_3006</x:v>
      </x:c>
      <x:c r="B78" s="10" t="str">
        <x:v>Retail Cooperative Network</x:v>
      </x:c>
      <x:c r="C78" s="19" t="str">
        <x:v>2312</x:v>
      </x:c>
      <x:c r="D78" s="11" t="n">
        <x:v>12</x:v>
      </x:c>
      <x:c r="E78" s="10" t="str">
        <x:v>At Risk</x:v>
      </x:c>
      <x:c r="F78" s="17" t="n">
        <x:v>6053.9</x:v>
      </x:c>
    </x:row>
    <x:row r="79">
      <x:c r="A79" s="10" t="str">
        <x:v>CUSTOMER_1130</x:v>
      </x:c>
      <x:c r="B79" s="10" t="str">
        <x:v>Independent Retail Accounts</x:v>
      </x:c>
      <x:c r="C79" s="19" t="str">
        <x:v>2402</x:v>
      </x:c>
      <x:c r="D79" s="11" t="n">
        <x:v>10</x:v>
      </x:c>
      <x:c r="E79" s="10" t="str">
        <x:v>At Risk</x:v>
      </x:c>
      <x:c r="F79" s="17" t="n">
        <x:v>5715.42</x:v>
      </x:c>
    </x:row>
    <x:row r="80">
      <x:c r="A80" s="10" t="str">
        <x:v>CUSTOMER_2484</x:v>
      </x:c>
      <x:c r="B80" s="10" t="str">
        <x:v>Independent Retail Accounts</x:v>
      </x:c>
      <x:c r="C80" s="19" t="str">
        <x:v>2402</x:v>
      </x:c>
      <x:c r="D80" s="11" t="n">
        <x:v>10</x:v>
      </x:c>
      <x:c r="E80" s="10" t="str">
        <x:v>At Risk</x:v>
      </x:c>
      <x:c r="F80" s="17" t="n">
        <x:v>5540.11</x:v>
      </x:c>
    </x:row>
    <x:row r="81">
      <x:c r="A81" s="10" t="str">
        <x:v>CUSTOMER_3061</x:v>
      </x:c>
      <x:c r="B81" s="10" t="str">
        <x:v>National Retail Chains</x:v>
      </x:c>
      <x:c r="C81" s="19" t="str">
        <x:v>2312</x:v>
      </x:c>
      <x:c r="D81" s="11" t="n">
        <x:v>12</x:v>
      </x:c>
      <x:c r="E81" s="10" t="str">
        <x:v>At Risk</x:v>
      </x:c>
      <x:c r="F81" s="17" t="n">
        <x:v>5349.69</x:v>
      </x:c>
    </x:row>
    <x:row r="82">
      <x:c r="A82" s="10" t="str">
        <x:v>CUSTOMER_0151</x:v>
      </x:c>
      <x:c r="B82" s="10" t="str">
        <x:v>Commercial Service Accounts</x:v>
      </x:c>
      <x:c r="C82" s="19" t="str">
        <x:v>2312</x:v>
      </x:c>
      <x:c r="D82" s="11" t="n">
        <x:v>12</x:v>
      </x:c>
      <x:c r="E82" s="10" t="str">
        <x:v>At Risk</x:v>
      </x:c>
      <x:c r="F82" s="17" t="n">
        <x:v>4861.7</x:v>
      </x:c>
    </x:row>
    <x:row r="83">
      <x:c r="A83" s="10" t="str">
        <x:v>CUSTOMER_1315</x:v>
      </x:c>
      <x:c r="B83" s="10" t="str">
        <x:v>Retail Cooperative Network</x:v>
      </x:c>
      <x:c r="C83" s="19" t="str">
        <x:v>2405</x:v>
      </x:c>
      <x:c r="D83" s="11" t="n">
        <x:v>7</x:v>
      </x:c>
      <x:c r="E83" s="10" t="str">
        <x:v>At Risk</x:v>
      </x:c>
      <x:c r="F83" s="17" t="n">
        <x:v>4843.21</x:v>
      </x:c>
    </x:row>
    <x:row r="84">
      <x:c r="A84" s="10" t="str">
        <x:v>CUSTOMER_2535</x:v>
      </x:c>
      <x:c r="B84" s="10" t="str">
        <x:v>Commercial Service Accounts</x:v>
      </x:c>
      <x:c r="C84" s="19" t="str">
        <x:v>2403</x:v>
      </x:c>
      <x:c r="D84" s="11" t="n">
        <x:v>9</x:v>
      </x:c>
      <x:c r="E84" s="10" t="str">
        <x:v>At Risk</x:v>
      </x:c>
      <x:c r="F84" s="17" t="n">
        <x:v>4692.03</x:v>
      </x:c>
    </x:row>
    <x:row r="85">
      <x:c r="A85" s="10" t="str">
        <x:v>CUSTOMER_0117</x:v>
      </x:c>
      <x:c r="B85" s="10" t="str">
        <x:v>Independent Retail Accounts</x:v>
      </x:c>
      <x:c r="C85" s="19" t="str">
        <x:v>2312</x:v>
      </x:c>
      <x:c r="D85" s="11" t="n">
        <x:v>12</x:v>
      </x:c>
      <x:c r="E85" s="10" t="str">
        <x:v>At Risk</x:v>
      </x:c>
      <x:c r="F85" s="17" t="n">
        <x:v>4620.61</x:v>
      </x:c>
    </x:row>
    <x:row r="86">
      <x:c r="A86" s="10" t="str">
        <x:v>CUSTOMER_3058</x:v>
      </x:c>
      <x:c r="B86" s="10" t="str">
        <x:v>National Retail Chains</x:v>
      </x:c>
      <x:c r="C86" s="19" t="str">
        <x:v>2312</x:v>
      </x:c>
      <x:c r="D86" s="11" t="n">
        <x:v>12</x:v>
      </x:c>
      <x:c r="E86" s="10" t="str">
        <x:v>At Risk</x:v>
      </x:c>
      <x:c r="F86" s="17" t="n">
        <x:v>4552.02</x:v>
      </x:c>
    </x:row>
    <x:row r="87">
      <x:c r="A87" s="10" t="str">
        <x:v>CUSTOMER_1168</x:v>
      </x:c>
      <x:c r="B87" s="10" t="str">
        <x:v>Independent Retail Accounts</x:v>
      </x:c>
      <x:c r="C87" s="19" t="str">
        <x:v>2401</x:v>
      </x:c>
      <x:c r="D87" s="11" t="n">
        <x:v>11</x:v>
      </x:c>
      <x:c r="E87" s="10" t="str">
        <x:v>At Risk</x:v>
      </x:c>
      <x:c r="F87" s="17" t="n">
        <x:v>4536.44</x:v>
      </x:c>
    </x:row>
    <x:row r="88">
      <x:c r="A88" s="10" t="str">
        <x:v>CUSTOMER_0507</x:v>
      </x:c>
      <x:c r="B88" s="10" t="str">
        <x:v>Independent Retail Accounts</x:v>
      </x:c>
      <x:c r="C88" s="19" t="str">
        <x:v>2403</x:v>
      </x:c>
      <x:c r="D88" s="11" t="n">
        <x:v>9</x:v>
      </x:c>
      <x:c r="E88" s="10" t="str">
        <x:v>At Risk</x:v>
      </x:c>
      <x:c r="F88" s="17" t="n">
        <x:v>4342.67</x:v>
      </x:c>
    </x:row>
    <x:row r="89">
      <x:c r="A89" s="10" t="str">
        <x:v>CUSTOMER_3041</x:v>
      </x:c>
      <x:c r="B89" s="10" t="str">
        <x:v>Metropolitan Retail Group</x:v>
      </x:c>
      <x:c r="C89" s="19" t="str">
        <x:v>2403</x:v>
      </x:c>
      <x:c r="D89" s="11" t="n">
        <x:v>9</x:v>
      </x:c>
      <x:c r="E89" s="10" t="str">
        <x:v>At Risk</x:v>
      </x:c>
      <x:c r="F89" s="17" t="n">
        <x:v>4239.74</x:v>
      </x:c>
    </x:row>
    <x:row r="90">
      <x:c r="A90" s="10" t="str">
        <x:v>CUSTOMER_3132</x:v>
      </x:c>
      <x:c r="B90" s="10" t="str">
        <x:v>Wholesale Trade Accounts</x:v>
      </x:c>
      <x:c r="C90" s="19" t="str">
        <x:v>2403</x:v>
      </x:c>
      <x:c r="D90" s="11" t="n">
        <x:v>9</x:v>
      </x:c>
      <x:c r="E90" s="10" t="str">
        <x:v>At Risk</x:v>
      </x:c>
      <x:c r="F90" s="17" t="n">
        <x:v>4220.12</x:v>
      </x:c>
    </x:row>
    <x:row r="91">
      <x:c r="A91" s="10" t="str">
        <x:v>CUSTOMER_3159</x:v>
      </x:c>
      <x:c r="B91" s="10" t="str">
        <x:v>Manufacturing Partners</x:v>
      </x:c>
      <x:c r="C91" s="19" t="str">
        <x:v>2403</x:v>
      </x:c>
      <x:c r="D91" s="11" t="n">
        <x:v>9</x:v>
      </x:c>
      <x:c r="E91" s="10" t="str">
        <x:v>At Risk</x:v>
      </x:c>
      <x:c r="F91" s="17" t="n">
        <x:v>3959.57</x:v>
      </x:c>
    </x:row>
    <x:row r="92">
      <x:c r="A92" s="10" t="str">
        <x:v>CUSTOMER_1331</x:v>
      </x:c>
      <x:c r="B92" s="10" t="str">
        <x:v>Independent Retail Accounts</x:v>
      </x:c>
      <x:c r="C92" s="19" t="str">
        <x:v>2403</x:v>
      </x:c>
      <x:c r="D92" s="11" t="n">
        <x:v>9</x:v>
      </x:c>
      <x:c r="E92" s="10" t="str">
        <x:v>At Risk</x:v>
      </x:c>
      <x:c r="F92" s="17" t="n">
        <x:v>3815.28</x:v>
      </x:c>
    </x:row>
    <x:row r="93">
      <x:c r="A93" s="10" t="str">
        <x:v>CUSTOMER_2102</x:v>
      </x:c>
      <x:c r="B93" s="10" t="str">
        <x:v>Independent Retail Accounts</x:v>
      </x:c>
      <x:c r="C93" s="19" t="str">
        <x:v>2404</x:v>
      </x:c>
      <x:c r="D93" s="11" t="n">
        <x:v>8</x:v>
      </x:c>
      <x:c r="E93" s="10" t="str">
        <x:v>At Risk</x:v>
      </x:c>
      <x:c r="F93" s="17" t="n">
        <x:v>3778.58</x:v>
      </x:c>
    </x:row>
    <x:row r="94">
      <x:c r="A94" s="10" t="str">
        <x:v>CUSTOMER_1618</x:v>
      </x:c>
      <x:c r="B94" s="10" t="str">
        <x:v>Independent Retail Accounts</x:v>
      </x:c>
      <x:c r="C94" s="19" t="str">
        <x:v>2405</x:v>
      </x:c>
      <x:c r="D94" s="11" t="n">
        <x:v>7</x:v>
      </x:c>
      <x:c r="E94" s="10" t="str">
        <x:v>At Risk</x:v>
      </x:c>
      <x:c r="F94" s="17" t="n">
        <x:v>3737.37</x:v>
      </x:c>
    </x:row>
    <x:row r="95">
      <x:c r="A95" s="10" t="str">
        <x:v>CUSTOMER_1627</x:v>
      </x:c>
      <x:c r="B95" s="10" t="str">
        <x:v>Independent Retail Accounts</x:v>
      </x:c>
      <x:c r="C95" s="19" t="str">
        <x:v>2405</x:v>
      </x:c>
      <x:c r="D95" s="11" t="n">
        <x:v>7</x:v>
      </x:c>
      <x:c r="E95" s="10" t="str">
        <x:v>At Risk</x:v>
      </x:c>
      <x:c r="F95" s="17" t="n">
        <x:v>3634.39</x:v>
      </x:c>
    </x:row>
    <x:row r="96">
      <x:c r="A96" s="10" t="str">
        <x:v>CUSTOMER_3081</x:v>
      </x:c>
      <x:c r="B96" s="10" t="str">
        <x:v>Wholesale Trade Accounts</x:v>
      </x:c>
      <x:c r="C96" s="19" t="str">
        <x:v>2403</x:v>
      </x:c>
      <x:c r="D96" s="11" t="n">
        <x:v>9</x:v>
      </x:c>
      <x:c r="E96" s="10" t="str">
        <x:v>At Risk</x:v>
      </x:c>
      <x:c r="F96" s="17" t="n">
        <x:v>3495.67</x:v>
      </x:c>
    </x:row>
    <x:row r="97">
      <x:c r="A97" s="10" t="str">
        <x:v>CUSTOMER_3069</x:v>
      </x:c>
      <x:c r="B97" s="10" t="str">
        <x:v>National Retail Chains</x:v>
      </x:c>
      <x:c r="C97" s="19" t="str">
        <x:v>2312</x:v>
      </x:c>
      <x:c r="D97" s="11" t="n">
        <x:v>12</x:v>
      </x:c>
      <x:c r="E97" s="10" t="str">
        <x:v>At Risk</x:v>
      </x:c>
      <x:c r="F97" s="17" t="n">
        <x:v>3418.34</x:v>
      </x:c>
    </x:row>
    <x:row r="98">
      <x:c r="A98" s="10" t="str">
        <x:v>CUSTOMER_1312</x:v>
      </x:c>
      <x:c r="B98" s="10" t="str">
        <x:v>Wholesale Trade Accounts</x:v>
      </x:c>
      <x:c r="C98" s="19" t="str">
        <x:v>2401</x:v>
      </x:c>
      <x:c r="D98" s="11" t="n">
        <x:v>11</x:v>
      </x:c>
      <x:c r="E98" s="10" t="str">
        <x:v>At Risk</x:v>
      </x:c>
      <x:c r="F98" s="17" t="n">
        <x:v>3376.07</x:v>
      </x:c>
    </x:row>
    <x:row r="99">
      <x:c r="A99" s="10" t="str">
        <x:v>CUSTOMER_1718</x:v>
      </x:c>
      <x:c r="B99" s="10" t="str">
        <x:v>Independent Retail Accounts</x:v>
      </x:c>
      <x:c r="C99" s="19" t="str">
        <x:v>2404</x:v>
      </x:c>
      <x:c r="D99" s="11" t="n">
        <x:v>8</x:v>
      </x:c>
      <x:c r="E99" s="10" t="str">
        <x:v>At Risk</x:v>
      </x:c>
      <x:c r="F99" s="17" t="n">
        <x:v>3349.5</x:v>
      </x:c>
    </x:row>
    <x:row r="100">
      <x:c r="A100" s="10" t="str">
        <x:v>CUSTOMER_3007</x:v>
      </x:c>
      <x:c r="B100" s="10" t="str">
        <x:v>Retail Cooperative Network</x:v>
      </x:c>
      <x:c r="C100" s="19" t="str">
        <x:v>2402</x:v>
      </x:c>
      <x:c r="D100" s="11" t="n">
        <x:v>10</x:v>
      </x:c>
      <x:c r="E100" s="10" t="str">
        <x:v>At Risk</x:v>
      </x:c>
      <x:c r="F100" s="17" t="n">
        <x:v>3340.48</x:v>
      </x:c>
    </x:row>
    <x:row r="101">
      <x:c r="A101" s="10" t="str">
        <x:v>CUSTOMER_2132</x:v>
      </x:c>
      <x:c r="B101" s="10" t="str">
        <x:v>Independent Retail Accounts</x:v>
      </x:c>
      <x:c r="C101" s="19" t="str">
        <x:v>2312</x:v>
      </x:c>
      <x:c r="D101" s="11" t="n">
        <x:v>12</x:v>
      </x:c>
      <x:c r="E101" s="10" t="str">
        <x:v>At Risk</x:v>
      </x:c>
      <x:c r="F101" s="17" t="n">
        <x:v>3335.39</x:v>
      </x:c>
    </x:row>
    <x:row r="102">
      <x:c r="A102" s="10" t="str">
        <x:v>CUSTOMER_2744</x:v>
      </x:c>
      <x:c r="B102" s="10" t="str">
        <x:v>Commercial Supply Partners</x:v>
      </x:c>
      <x:c r="C102" s="19" t="str">
        <x:v>2403</x:v>
      </x:c>
      <x:c r="D102" s="11" t="n">
        <x:v>9</x:v>
      </x:c>
      <x:c r="E102" s="10" t="str">
        <x:v>At Risk</x:v>
      </x:c>
      <x:c r="F102" s="17" t="n">
        <x:v>3233.41</x:v>
      </x:c>
    </x:row>
    <x:row r="103">
      <x:c r="A103" s="10" t="str">
        <x:v>CUSTOMER_0240</x:v>
      </x:c>
      <x:c r="B103" s="10" t="str">
        <x:v>Retail Cooperative Network</x:v>
      </x:c>
      <x:c r="C103" s="19" t="str">
        <x:v>2403</x:v>
      </x:c>
      <x:c r="D103" s="11" t="n">
        <x:v>9</x:v>
      </x:c>
      <x:c r="E103" s="10" t="str">
        <x:v>At Risk</x:v>
      </x:c>
      <x:c r="F103" s="17" t="n">
        <x:v>3164.21</x:v>
      </x:c>
    </x:row>
    <x:row r="104">
      <x:c r="A104" s="10" t="str">
        <x:v>CUSTOMER_1289</x:v>
      </x:c>
      <x:c r="B104" s="10" t="str">
        <x:v>Independent Retail Accounts</x:v>
      </x:c>
      <x:c r="C104" s="19" t="str">
        <x:v>2402</x:v>
      </x:c>
      <x:c r="D104" s="11" t="n">
        <x:v>10</x:v>
      </x:c>
      <x:c r="E104" s="10" t="str">
        <x:v>At Risk</x:v>
      </x:c>
      <x:c r="F104" s="17" t="n">
        <x:v>3059.6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07400e101a114c5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42" hidden="0" customWidth="1"/>
    <x:col min="3" max="3" width="18" hidden="0" customWidth="1"/>
    <x:col min="4" max="4" width="18" hidden="0" customWidth="1"/>
    <x:col min="5" max="5" width="12" hidden="0" customWidth="1"/>
  </x:cols>
  <x:sheetData>
    <x:row r="1" ht="30" customHeight="1">
      <x:c r="A1" s="3" t="str">
        <x:v>Validation Checks</x:v>
      </x:c>
      <x:c r="B1" s="3" t="str">
        <x:v>Validation Checks</x:v>
      </x:c>
      <x:c r="C1" s="3" t="str">
        <x:v>Validation Checks</x:v>
      </x:c>
      <x:c r="D1" s="3" t="str">
        <x:v>Validation Checks</x:v>
      </x:c>
      <x:c r="E1" s="3" t="str">
        <x:v>Validation Checks</x:v>
      </x:c>
    </x:row>
    <x:row r="2" ht="24" customHeight="1">
      <x:c r="A2" s="6" t="str">
        <x:v>Every question-level check should show PASS before publication.</x:v>
      </x:c>
      <x:c r="B2" s="6" t="str">
        <x:v>Every question-level check should show PASS before publication.</x:v>
      </x:c>
      <x:c r="C2" s="6" t="str">
        <x:v>Every question-level check should show PASS before publication.</x:v>
      </x:c>
      <x:c r="D2" s="6" t="str">
        <x:v>Every question-level check should show PASS before publication.</x:v>
      </x:c>
      <x:c r="E2" s="6" t="str">
        <x:v>Every question-level check should show PASS before publication.</x:v>
      </x:c>
    </x:row>
    <x:row r="4" ht="28" customHeight="1">
      <x:c r="A4" s="10" t="str">
        <x:v>Question</x:v>
      </x:c>
      <x:c r="B4" s="10" t="str">
        <x:v>Check</x:v>
      </x:c>
      <x:c r="C4" s="10" t="str">
        <x:v>Actual</x:v>
      </x:c>
      <x:c r="D4" s="10" t="str">
        <x:v>Expected</x:v>
      </x:c>
      <x:c r="E4" s="10" t="str">
        <x:v>Status</x:v>
      </x:c>
    </x:row>
    <x:row r="5">
      <x:c r="A5" s="10" t="str">
        <x:v>Question 1</x:v>
      </x:c>
      <x:c r="B5" s="10" t="str">
        <x:v>active_segment_count</x:v>
      </x:c>
      <x:c r="C5" s="10" t="str">
        <x:v>64</x:v>
      </x:c>
      <x:c r="D5" s="10" t="str">
        <x:v>64</x:v>
      </x:c>
      <x:c r="E5" s="10" t="str">
        <x:v>PASS</x:v>
      </x:c>
    </x:row>
    <x:row r="6">
      <x:c r="A6" s="10" t="str">
        <x:v>Question 1</x:v>
      </x:c>
      <x:c r="B6" s="10" t="str">
        <x:v>complete_reporting_months</x:v>
      </x:c>
      <x:c r="C6" s="10" t="str">
        <x:v>84</x:v>
      </x:c>
      <x:c r="D6" s="10" t="str">
        <x:v>84</x:v>
      </x:c>
      <x:c r="E6" s="10" t="str">
        <x:v>PASS</x:v>
      </x:c>
    </x:row>
    <x:row r="7">
      <x:c r="A7" s="10" t="str">
        <x:v>Question 1</x:v>
      </x:c>
      <x:c r="B7" s="10" t="str">
        <x:v>segment_gross_profit_reconciliation</x:v>
      </x:c>
      <x:c r="C7" s="10" t="str">
        <x:v>0.00</x:v>
      </x:c>
      <x:c r="D7" s="10" t="str">
        <x:v>0.00</x:v>
      </x:c>
      <x:c r="E7" s="10" t="str">
        <x:v>PASS</x:v>
      </x:c>
    </x:row>
    <x:row r="8">
      <x:c r="A8" s="10" t="str">
        <x:v>Question 1</x:v>
      </x:c>
      <x:c r="B8" s="10" t="str">
        <x:v>segment_revenue_reconciliation</x:v>
      </x:c>
      <x:c r="C8" s="10" t="str">
        <x:v>0.00</x:v>
      </x:c>
      <x:c r="D8" s="10" t="str">
        <x:v>0.00</x:v>
      </x:c>
      <x:c r="E8" s="10" t="str">
        <x:v>PASS</x:v>
      </x:c>
    </x:row>
    <x:row r="9">
      <x:c r="A9" s="10" t="str">
        <x:v>Question 1</x:v>
      </x:c>
      <x:c r="B9" s="10" t="str">
        <x:v>unmapped_transaction_class_rows</x:v>
      </x:c>
      <x:c r="C9" s="10" t="str">
        <x:v>0</x:v>
      </x:c>
      <x:c r="D9" s="10" t="str">
        <x:v>0</x:v>
      </x:c>
      <x:c r="E9" s="10" t="str">
        <x:v>PASS</x:v>
      </x:c>
    </x:row>
    <x:row r="10">
      <x:c r="A10" s="10" t="str">
        <x:v>Question 2</x:v>
      </x:c>
      <x:c r="B10" s="10" t="str">
        <x:v>customer_count</x:v>
      </x:c>
      <x:c r="C10" s="10" t="str">
        <x:v>3230</x:v>
      </x:c>
      <x:c r="D10" s="10" t="str">
        <x:v>3230</x:v>
      </x:c>
      <x:c r="E10" s="10" t="str">
        <x:v>PASS</x:v>
      </x:c>
    </x:row>
    <x:row r="11">
      <x:c r="A11" s="10" t="str">
        <x:v>Question 2</x:v>
      </x:c>
      <x:c r="B11" s="10" t="str">
        <x:v>customer_revenue_reconciliation</x:v>
      </x:c>
      <x:c r="C11" s="10" t="str">
        <x:v>0.00</x:v>
      </x:c>
      <x:c r="D11" s="10" t="str">
        <x:v>0.00</x:v>
      </x:c>
      <x:c r="E11" s="10" t="str">
        <x:v>PASS</x:v>
      </x:c>
    </x:row>
    <x:row r="12">
      <x:c r="A12" s="10" t="str">
        <x:v>Question 2</x:v>
      </x:c>
      <x:c r="B12" s="10" t="str">
        <x:v>final_cumulative_revenue_pct</x:v>
      </x:c>
      <x:c r="C12" s="10" t="str">
        <x:v>100.0000</x:v>
      </x:c>
      <x:c r="D12" s="10" t="str">
        <x:v>100.0000</x:v>
      </x:c>
      <x:c r="E12" s="10" t="str">
        <x:v>PASS</x:v>
      </x:c>
    </x:row>
    <x:row r="13">
      <x:c r="A13" s="10" t="str">
        <x:v>Question 2</x:v>
      </x:c>
      <x:c r="B13" s="10" t="str">
        <x:v>top_customer_below_two_pct</x:v>
      </x:c>
      <x:c r="C13" s="10" t="str">
        <x:v>1.1305</x:v>
      </x:c>
      <x:c r="D13" s="10" t="str">
        <x:v>&lt;2.0000</x:v>
      </x:c>
      <x:c r="E13" s="10" t="str">
        <x:v>PASS</x:v>
      </x:c>
    </x:row>
    <x:row r="14">
      <x:c r="A14" s="10" t="str">
        <x:v>Question 2</x:v>
      </x:c>
      <x:c r="B14" s="10" t="str">
        <x:v>unique_customer_ranks</x:v>
      </x:c>
      <x:c r="C14" s="10" t="str">
        <x:v>3230</x:v>
      </x:c>
      <x:c r="D14" s="10" t="str">
        <x:v>3230</x:v>
      </x:c>
      <x:c r="E14" s="10" t="str">
        <x:v>PASS</x:v>
      </x:c>
    </x:row>
    <x:row r="15">
      <x:c r="A15" s="10" t="str">
        <x:v>Question 3</x:v>
      </x:c>
      <x:c r="B15" s="10" t="str">
        <x:v>active_revenue_at_risk</x:v>
      </x:c>
      <x:c r="C15" s="10" t="str">
        <x:v>0.00</x:v>
      </x:c>
      <x:c r="D15" s="10" t="str">
        <x:v>0.00</x:v>
      </x:c>
      <x:c r="E15" s="10" t="str">
        <x:v>PASS</x:v>
      </x:c>
    </x:row>
    <x:row r="16">
      <x:c r="A16" s="10" t="str">
        <x:v>Question 3</x:v>
      </x:c>
      <x:c r="B16" s="10" t="str">
        <x:v>bucket_customer_reconciliation</x:v>
      </x:c>
      <x:c r="C16" s="10" t="str">
        <x:v>3230</x:v>
      </x:c>
      <x:c r="D16" s="10" t="str">
        <x:v>3230</x:v>
      </x:c>
      <x:c r="E16" s="10" t="str">
        <x:v>PASS</x:v>
      </x:c>
    </x:row>
    <x:row r="17">
      <x:c r="A17" s="10" t="str">
        <x:v>Question 3</x:v>
      </x:c>
      <x:c r="B17" s="10" t="str">
        <x:v>latest_recognized_period</x:v>
      </x:c>
      <x:c r="C17" s="10" t="str">
        <x:v>2412</x:v>
      </x:c>
      <x:c r="D17" s="10" t="str">
        <x:v>2412</x:v>
      </x:c>
      <x:c r="E17" s="10" t="str">
        <x:v>PASS</x:v>
      </x:c>
    </x:row>
    <x:row r="18">
      <x:c r="A18" s="10" t="str">
        <x:v>Question 3</x:v>
      </x:c>
      <x:c r="B18" s="10" t="str">
        <x:v>lifecycle_customer_count</x:v>
      </x:c>
      <x:c r="C18" s="10" t="str">
        <x:v>3230</x:v>
      </x:c>
      <x:c r="D18" s="10" t="str">
        <x:v>3230</x:v>
      </x:c>
      <x:c r="E18" s="10" t="str">
        <x:v>PASS</x:v>
      </x:c>
    </x:row>
    <x:row r="19">
      <x:c r="A19" s="10" t="str">
        <x:v>Question 3</x:v>
      </x:c>
      <x:c r="B19" s="10" t="str">
        <x:v>no_positive_sales_customer_count</x:v>
      </x:c>
      <x:c r="C19" s="10" t="str">
        <x:v>21</x:v>
      </x:c>
      <x:c r="D19" s="10" t="str">
        <x:v>21</x:v>
      </x:c>
      <x:c r="E19" s="10" t="str">
        <x:v>PASS</x:v>
      </x:c>
    </x:row>
    <x:row r="20">
      <x:c r="A20" s="10" t="str">
        <x:v>Question 3</x:v>
      </x:c>
      <x:c r="B20" s="10" t="str">
        <x:v>nonnegative_revenue_at_risk</x:v>
      </x:c>
      <x:c r="C20" s="10" t="str">
        <x:v>0</x:v>
      </x:c>
      <x:c r="D20" s="10" t="str">
        <x:v>0</x:v>
      </x:c>
      <x:c r="E20" s="10" t="str">
        <x:v>PASS</x:v>
      </x:c>
    </x:row>
    <x:row r="21">
      <x:c r="A21" s="10" t="str">
        <x:v>Question 4</x:v>
      </x:c>
      <x:c r="B21" s="10" t="str">
        <x:v>complete_month_count</x:v>
      </x:c>
      <x:c r="C21" s="10" t="str">
        <x:v>84</x:v>
      </x:c>
      <x:c r="D21" s="10" t="str">
        <x:v>84</x:v>
      </x:c>
      <x:c r="E21" s="10" t="str">
        <x:v>PASS</x:v>
      </x:c>
    </x:row>
    <x:row r="22">
      <x:c r="A22" s="10" t="str">
        <x:v>Question 4</x:v>
      </x:c>
      <x:c r="B22" s="10" t="str">
        <x:v>complete_year_count</x:v>
      </x:c>
      <x:c r="C22" s="10" t="str">
        <x:v>7</x:v>
      </x:c>
      <x:c r="D22" s="10" t="str">
        <x:v>7</x:v>
      </x:c>
      <x:c r="E22" s="10" t="str">
        <x:v>PASS</x:v>
      </x:c>
    </x:row>
    <x:row r="23">
      <x:c r="A23" s="10" t="str">
        <x:v>Question 4</x:v>
      </x:c>
      <x:c r="B23" s="10" t="str">
        <x:v>gross_profit_formula_difference</x:v>
      </x:c>
      <x:c r="C23" s="10" t="str">
        <x:v>0.000000</x:v>
      </x:c>
      <x:c r="D23" s="10" t="str">
        <x:v>0.000000</x:v>
      </x:c>
      <x:c r="E23" s="10" t="str">
        <x:v>PASS</x:v>
      </x:c>
    </x:row>
    <x:row r="24">
      <x:c r="A24" s="10" t="str">
        <x:v>Question 4</x:v>
      </x:c>
      <x:c r="B24" s="10" t="str">
        <x:v>partial_2017_rows_excluded</x:v>
      </x:c>
      <x:c r="C24" s="10" t="str">
        <x:v>4</x:v>
      </x:c>
      <x:c r="D24" s="10" t="str">
        <x:v>4</x:v>
      </x:c>
      <x:c r="E24" s="10" t="str">
        <x:v>PASS</x:v>
      </x:c>
    </x:row>
    <x:row r="25">
      <x:c r="A25" s="10" t="str">
        <x:v>Question 4</x:v>
      </x:c>
      <x:c r="B25" s="10" t="str">
        <x:v>transaction_row_count</x:v>
      </x:c>
      <x:c r="C25" s="10" t="str">
        <x:v>3714620</x:v>
      </x:c>
      <x:c r="D25" s="10" t="str">
        <x:v>3714620</x:v>
      </x:c>
      <x:c r="E25" s="10" t="str">
        <x:v>PASS</x:v>
      </x:c>
    </x:row>
    <x:row r="26">
      <x:c r="A26" s="10" t="str">
        <x:v>Question 4</x:v>
      </x:c>
      <x:c r="B26" s="10" t="str">
        <x:v>years_with_12_months</x:v>
      </x:c>
      <x:c r="C26" s="10" t="str">
        <x:v>7</x:v>
      </x:c>
      <x:c r="D26" s="10" t="str">
        <x:v>7</x:v>
      </x:c>
      <x:c r="E26" s="10" t="str">
        <x:v>PASS</x:v>
      </x:c>
    </x:row>
  </x:sheetData>
  <x:mergeCells>
    <x:mergeCell ref="A1:E1"/>
    <x:mergeCell ref="A2:E2"/>
  </x:mergeCells>
  <x:conditionalFormatting sqref="E5:E26">
    <x:cfRule type="containsText" dxfId="0" priority="1" operator="containsText" text="PASS"/>
  </x:conditionalFormatting>
  <x:pageMargins left="0.7" right="0.7" top="0.75" bottom="0.75" header="0.3" footer="0.3"/>
  <x:tableParts count="1">
    <x:tablePart xmlns:r="http://schemas.openxmlformats.org/officeDocument/2006/relationships" r:id="R92f0d4d4df734f27"/>
  </x:tableParts>
</x:worksheet>
</file>