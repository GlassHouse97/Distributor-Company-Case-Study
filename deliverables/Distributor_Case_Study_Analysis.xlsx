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95ee3ddf2c4a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nual Trend" sheetId="1" r:id="R897d596f69324036"/>
    <x:sheet xmlns:r="http://schemas.openxmlformats.org/officeDocument/2006/relationships" name="Segment Profitability" sheetId="2" r:id="Ra9dd77eb94fb4e86"/>
    <x:sheet xmlns:r="http://schemas.openxmlformats.org/officeDocument/2006/relationships" name="Concentration" sheetId="3" r:id="Rba99e5ff1378426e"/>
    <x:sheet xmlns:r="http://schemas.openxmlformats.org/officeDocument/2006/relationships" name="Retention Summary" sheetId="4" r:id="R74cd5a7d677646dc"/>
    <x:sheet xmlns:r="http://schemas.openxmlformats.org/officeDocument/2006/relationships" name="Executive Summary" sheetId="5" r:id="R27eca8ec218448b8"/>
    <x:sheet xmlns:r="http://schemas.openxmlformats.org/officeDocument/2006/relationships" name="Segment Growth" sheetId="6" r:id="R08d49ee0e7ad44e7"/>
    <x:sheet xmlns:r="http://schemas.openxmlformats.org/officeDocument/2006/relationships" name="Segment Concentration" sheetId="7" r:id="R90d97107baa04421"/>
    <x:sheet xmlns:r="http://schemas.openxmlformats.org/officeDocument/2006/relationships" name="Retention by Segment" sheetId="8" r:id="R108d87cf0d314195"/>
    <x:sheet xmlns:r="http://schemas.openxmlformats.org/officeDocument/2006/relationships" name="Outreach Priorities" sheetId="9" r:id="Raeeae03ff0f54934"/>
    <x:sheet xmlns:r="http://schemas.openxmlformats.org/officeDocument/2006/relationships" name="Validation" sheetId="10" r:id="R4239222555064c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0%"/>
    <x:numFmt numFmtId="201" formatCode="#,##0"/>
    <x:numFmt numFmtId="202" formatCode="$#,##0.00"/>
    <x:numFmt numFmtId="203" formatCode="$#,##0.00;[Red]-$#,##0.00"/>
    <x:numFmt numFmtId="204" formatCode="0.00 &quot;pp&quot;"/>
    <x:numFmt numFmtId="205" formatCode="$0.0"/>
  </x:numFmts>
  <x:fonts count="10">
    <x:font>
      <x:sz val="11"/>
      <x:name val="Carlito"/>
    </x:font>
    <x:font>
      <x:b/>
      <x:sz val="18"/>
      <x:color rgb="FFFFFFFF"/>
      <x:name val="Carlito"/>
    </x:font>
    <x:font>
      <x:i/>
      <x:sz val="10"/>
      <x:color rgb="FF64748B"/>
      <x:name val="Carlito"/>
    </x:font>
    <x:font>
      <x:b/>
      <x:sz val="11"/>
      <x:color rgb="FFFFFFFF"/>
      <x:name val="Carlito"/>
    </x:font>
    <x:font>
      <x:b/>
      <x:sz val="11"/>
      <x:color rgb="FF1F2937"/>
      <x:name val="Carlito"/>
    </x:font>
    <x:font>
      <x:b/>
      <x:sz val="12"/>
      <x:color rgb="FFFFFFFF"/>
      <x:name val="Carlito"/>
    </x:font>
    <x:font>
      <x:sz val="11"/>
      <x:color rgb="FF1F2937"/>
      <x:name val="Carlito"/>
    </x:font>
    <x:font>
      <x:b/>
      <x:sz val="11"/>
      <x:color rgb="FF17365D"/>
      <x:name val="Carlito"/>
    </x:font>
    <x:font>
      <x:b/>
      <x:sz val="11"/>
      <x:name val="Carlito"/>
    </x:font>
    <x:font>
      <x:b/>
      <x:sz val="11"/>
      <x:color rgb="FF2E8B5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F4F7FA"/>
      </x:patternFill>
    </x:fill>
  </x:fills>
  <x:borders count="2">
    <x:border/>
    <x:border>
      <x:left style="thin">
        <x:color rgb="FFD6DEE8"/>
      </x:left>
      <x:right style="thin">
        <x:color rgb="FFD6DEE8"/>
      </x:right>
      <x:top style="thin">
        <x:color rgb="FFD6DEE8"/>
      </x:top>
      <x:bottom style="thin">
        <x:color rgb="FFD6DEE8"/>
      </x:bottom>
    </x:border>
  </x:borders>
  <x:cellStyleXfs count="1">
    <x:xf numFmtId="0" fontId="0" fillId="0" borderId="0"/>
  </x:cellStyleXfs>
  <x:cellXfs count="4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202" fontId="0" fillId="0" borderId="1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5" fillId="2" borderId="0" xfId="0" applyNumberFormat="1" applyFont="1" applyFill="1" applyBorder="1"/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0" fontId="3" fillId="4" borderId="1" xfId="0" applyNumberFormat="1" applyFont="1" applyFill="1" applyBorder="1" applyAlignment="1">
      <x:alignment vertical="center" wrapText="0"/>
    </x:xf>
    <x:xf numFmtId="0" fontId="0" fillId="0" borderId="0" xfId="0" applyNumberFormat="1" applyFont="1" applyFill="1" applyBorder="1" applyAlignment="1">
      <x:alignment wrapText="0"/>
    </x:xf>
    <x:xf numFmtId="201" fontId="0" fillId="0" borderId="0" xfId="0" applyNumberFormat="1" applyFont="1" applyFill="1" applyBorder="1" applyAlignment="1">
      <x:alignment wrapText="0"/>
    </x:xf>
    <x:xf numFmtId="203" fontId="0" fillId="0" borderId="0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  <x:xf numFmtId="204" fontId="0" fillId="0" borderId="0" xfId="0" applyNumberFormat="1" applyFont="1" applyFill="1" applyBorder="1" applyAlignment="1">
      <x:alignment wrapText="0"/>
    </x:xf>
    <x:xf numFmtId="205" fontId="0" fillId="0" borderId="0" xfId="0" applyNumberFormat="1" applyFont="1" applyFill="1" applyBorder="1"/>
    <x:xf numFmtId="0" fontId="0" fillId="2" borderId="1" xfId="0" applyNumberFormat="1" applyFont="1" applyFill="1" applyBorder="1"/>
    <x:xf numFmtId="0" fontId="3" fillId="2" borderId="1" xfId="0" applyNumberFormat="1" applyFont="1" applyFill="1" applyBorder="1"/>
    <x:xf numFmtId="0" fontId="8" fillId="5" borderId="1" xfId="0" applyNumberFormat="1" applyFont="1" applyFill="1" applyBorder="1"/>
    <x:xf numFmtId="0" fontId="9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ea99caadd24456" /><Relationship Type="http://schemas.openxmlformats.org/officeDocument/2006/relationships/theme" Target="/xl/theme/theme1.xml" Id="R91ba2326c2994bcb" /><Relationship Type="http://schemas.openxmlformats.org/officeDocument/2006/relationships/sharedStrings" Target="/xl/sharedStrings.xml" Id="Rd689eb61af114e93" /><Relationship Type="http://schemas.openxmlformats.org/officeDocument/2006/relationships/worksheet" Target="/xl/worksheets/sheet1.xml" Id="R897d596f69324036" /><Relationship Type="http://schemas.openxmlformats.org/officeDocument/2006/relationships/worksheet" Target="/xl/worksheets/sheet2.xml" Id="Ra9dd77eb94fb4e86" /><Relationship Type="http://schemas.openxmlformats.org/officeDocument/2006/relationships/worksheet" Target="/xl/worksheets/sheet3.xml" Id="Rba99e5ff1378426e" /><Relationship Type="http://schemas.openxmlformats.org/officeDocument/2006/relationships/worksheet" Target="/xl/worksheets/sheet4.xml" Id="R74cd5a7d677646dc" /><Relationship Type="http://schemas.openxmlformats.org/officeDocument/2006/relationships/worksheet" Target="/xl/worksheets/sheet5.xml" Id="R27eca8ec218448b8" /><Relationship Type="http://schemas.openxmlformats.org/officeDocument/2006/relationships/worksheet" Target="/xl/worksheets/sheet6.xml" Id="R08d49ee0e7ad44e7" /><Relationship Type="http://schemas.openxmlformats.org/officeDocument/2006/relationships/worksheet" Target="/xl/worksheets/sheet7.xml" Id="R90d97107baa04421" /><Relationship Type="http://schemas.openxmlformats.org/officeDocument/2006/relationships/worksheet" Target="/xl/worksheets/sheet8.xml" Id="R108d87cf0d314195" /><Relationship Type="http://schemas.openxmlformats.org/officeDocument/2006/relationships/worksheet" Target="/xl/worksheets/sheet9.xml" Id="Raeeae03ff0f54934" /><Relationship Type="http://schemas.openxmlformats.org/officeDocument/2006/relationships/worksheet" Target="/xl/worksheets/sheet10.xml" Id="R4239222555064c9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ac7a94d7b8a445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Revenue and Gross Profit Growth ($M)</a:t>
            </a:r>
          </a:p>
        </c:rich>
      </c:tx>
    </c:title>
    <c:plotArea>
      <c:lineChart>
        <c:grouping val="standard"/>
        <c:ser>
          <c:idx val="0"/>
          <c:order val="0"/>
          <c:tx>
            <c:v>Revenue ($M)</c:v>
          </c:tx>
          <c:marker>
            <c:symbol val="none"/>
          </c:marker>
          <c:cat>
            <c:strRef>
              <c:f>'Annual Trend'!$L$5:$L$11</c:f>
              <c:strCache>
                <c:ptCount val="0"/>
              </c:strCache>
            </c:strRef>
          </c:cat>
          <c:val>
            <c:numRef>
              <c:f>'Annual Trend'!$M$5:$M$11</c:f>
              <c:numCache>
                <c:formatCode>$0.0</c:formatCode>
                <c:ptCount val="0"/>
              </c:numCache>
            </c:numRef>
          </c:val>
        </c:ser>
        <c:ser>
          <c:idx val="1"/>
          <c:order val="1"/>
          <c:tx>
            <c:v>Gross Profit ($M)</c:v>
          </c:tx>
          <c:marker>
            <c:symbol val="none"/>
          </c:marker>
          <c:cat>
            <c:strRef>
              <c:f>'Annual Trend'!$L$5:$L$11</c:f>
              <c:strCache>
                <c:ptCount val="0"/>
              </c:strCache>
            </c:strRef>
          </c:cat>
          <c:val>
            <c:numRef>
              <c:f>'Annual Trend'!$N$5:$N$11</c:f>
              <c:numCache>
                <c:formatCode>$0.0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0.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11</xdr:col>
      <xdr:colOff>0</xdr:colOff>
      <xdr:row>12</xdr:row>
      <xdr:rowOff>0</xdr:rowOff>
    </xdr:from>
    <xdr:to>
      <xdr:col>20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ac7a94d7b8a4450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AnnualTrendTable" displayName="AnnualTrendTable" ref="A4:J11" headerRowCount="1" totalsRowCount="0" totalsRowShown="0">
  <x:autoFilter ref="A4:J11"/>
  <x:tableColumns count="10">
    <x:tableColumn id="1" name="Per Year"/>
    <x:tableColumn id="2" name="Reported Months"/>
    <x:tableColumn id="3" name="Transaction Rows"/>
    <x:tableColumn id="4" name="Total Revenue"/>
    <x:tableColumn id="5" name="Total Cost"/>
    <x:tableColumn id="6" name="Gross Profit"/>
    <x:tableColumn id="7" name="Gross Margin %"/>
    <x:tableColumn id="8" name="Revenue Yoy %"/>
    <x:tableColumn id="9" name="Gross Profit Yoy %"/>
    <x:tableColumn id="10" name="Margin Change pp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egmentProfitabilityTable" displayName="SegmentProfitabilityTable" ref="A4:M68" headerRowCount="1" totalsRowCount="0" totalsRowShown="0">
  <x:autoFilter ref="A4:M68"/>
  <x:tableColumns count="13">
    <x:tableColumn id="1" name="Customer Class"/>
    <x:tableColumn id="2" name="Customer Class Description"/>
    <x:tableColumn id="3" name="Transaction Rows"/>
    <x:tableColumn id="4" name="Customer Count"/>
    <x:tableColumn id="5" name="Total Revenue"/>
    <x:tableColumn id="6" name="Total Cost"/>
    <x:tableColumn id="7" name="Gross Profit"/>
    <x:tableColumn id="8" name="Gross Margin %"/>
    <x:tableColumn id="9" name="Revenue Share %"/>
    <x:tableColumn id="10" name="Gross Profit Share %"/>
    <x:tableColumn id="11" name="Revenue Rank"/>
    <x:tableColumn id="12" name="Gross Profit Rank"/>
    <x:tableColumn id="13" name="Margin Rank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4" name="TopCustomerConcentrationTable" displayName="TopCustomerConcentrationTable" ref="A4:I104" headerRowCount="1" totalsRowCount="0" totalsRowShown="0">
  <x:autoFilter ref="A4:I104"/>
  <x:tableColumns count="9">
    <x:tableColumn id="1" name="Customer Number"/>
    <x:tableColumn id="2" name="Transaction Rows"/>
    <x:tableColumn id="3" name="Total Revenue"/>
    <x:tableColumn id="4" name="Gross Profit"/>
    <x:tableColumn id="5" name="Gross Margin %"/>
    <x:tableColumn id="6" name="Revenue Share %"/>
    <x:tableColumn id="7" name="Cumulative Revenue %"/>
    <x:tableColumn id="8" name="Cumulative Customer %"/>
    <x:tableColumn id="9" name="Revenue Ran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6" name="RetentionSummaryTable" displayName="RetentionSummaryTable" ref="A4:I9" headerRowCount="1" totalsRowCount="0" totalsRowShown="0">
  <x:autoFilter ref="A4:I9"/>
  <x:tableColumns count="9">
    <x:tableColumn id="1" name="Churn Risk Bucket"/>
    <x:tableColumn id="2" name="Customer Count"/>
    <x:tableColumn id="3" name="Customer %"/>
    <x:tableColumn id="4" name="Baseline Revenue"/>
    <x:tableColumn id="5" name="Revenue At Risk"/>
    <x:tableColumn id="6" name="Revenue At Risk Share %"/>
    <x:tableColumn id="7" name="Revenue At Risk % Of 2024 Revenue"/>
    <x:tableColumn id="8" name="Minimum Months Inactive"/>
    <x:tableColumn id="9" name="Maximum Months Inactiv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3" name="SegmentGrowthTable" displayName="SegmentGrowthTable" ref="A4:O67" headerRowCount="1" totalsRowCount="0" totalsRowShown="0">
  <x:autoFilter ref="A4:O67"/>
  <x:tableColumns count="15">
    <x:tableColumn id="1" name="Customer Class"/>
    <x:tableColumn id="2" name="Customer Class Description"/>
    <x:tableColumn id="3" name="Customers 2018"/>
    <x:tableColumn id="4" name="Customers 2024"/>
    <x:tableColumn id="5" name="Revenue 2018"/>
    <x:tableColumn id="6" name="Revenue 2024"/>
    <x:tableColumn id="7" name="Revenue Growth"/>
    <x:tableColumn id="8" name="Revenue Growth %"/>
    <x:tableColumn id="9" name="Gross Profit 2018"/>
    <x:tableColumn id="10" name="Gross Profit 2024"/>
    <x:tableColumn id="11" name="Gross Profit Growth"/>
    <x:tableColumn id="12" name="Gross Profit Growth %"/>
    <x:tableColumn id="13" name="Growth Contribution %"/>
    <x:tableColumn id="14" name="Margin 2018 %"/>
    <x:tableColumn id="15" name="Margin 2024 %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5" name="SegmentConcentrationTable" displayName="SegmentConcentrationTable" ref="A4:G68" headerRowCount="1" totalsRowCount="0" totalsRowShown="0">
  <x:autoFilter ref="A4:G68"/>
  <x:tableColumns count="7">
    <x:tableColumn id="1" name="Customer Class"/>
    <x:tableColumn id="2" name="Customer Class Description"/>
    <x:tableColumn id="3" name="Customer Count"/>
    <x:tableColumn id="4" name="Total Revenue"/>
    <x:tableColumn id="5" name="Revenue Share %"/>
    <x:tableColumn id="6" name="Cumulative Revenue %"/>
    <x:tableColumn id="7" name="Revenue Rank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RetentionBySegmentTable" displayName="RetentionBySegmentTable" ref="A4:L68" headerRowCount="1" totalsRowCount="0" totalsRowShown="0">
  <x:autoFilter ref="A4:L68"/>
  <x:tableColumns count="12">
    <x:tableColumn id="1" name="Customer Class"/>
    <x:tableColumn id="2" name="Customer Class Description"/>
    <x:tableColumn id="3" name="Total Customers"/>
    <x:tableColumn id="4" name="Active Customers"/>
    <x:tableColumn id="5" name="Watch Customers"/>
    <x:tableColumn id="6" name="At Risk Customers"/>
    <x:tableColumn id="7" name="Dormant Customers"/>
    <x:tableColumn id="8" name="No Positive Sales Customers"/>
    <x:tableColumn id="9" name="Risky Customers"/>
    <x:tableColumn id="10" name="Risky Customer %"/>
    <x:tableColumn id="11" name="Revenue At Risk"/>
    <x:tableColumn id="12" name="Revenue At Risk Share %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OutreachPriorityTable" displayName="OutreachPriorityTable" ref="A4:G104" headerRowCount="1" totalsRowCount="0" totalsRowShown="0">
  <x:autoFilter ref="A4:G104"/>
  <x:tableColumns count="7">
    <x:tableColumn id="1" name="Customer Number"/>
    <x:tableColumn id="2" name="Customer Class"/>
    <x:tableColumn id="3" name="Customer Class Description"/>
    <x:tableColumn id="4" name="Last Active Period"/>
    <x:tableColumn id="5" name="Months Since Last Active"/>
    <x:tableColumn id="6" name="Churn Risk Bucket"/>
    <x:tableColumn id="7" name="Revenue At Risk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AnalysisValidationTable" displayName="AnalysisValidationTable" ref="A4:E26" headerRowCount="1" totalsRowCount="0" totalsRowShown="0">
  <x:autoFilter ref="A4:E26"/>
  <x:tableColumns count="5">
    <x:tableColumn id="1" name="Question"/>
    <x:tableColumn id="2" name="Check"/>
    <x:tableColumn id="3" name="Actual"/>
    <x:tableColumn id="4" name="Expected"/>
    <x:tableColumn id="5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58c2c9457b54ae2" /><Relationship Type="http://schemas.openxmlformats.org/officeDocument/2006/relationships/table" Target="/xl/tables/table1.xml" Id="R3d7f6187c185488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c13abd3447d43a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d73844fc6ec4ca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e4b836cb36fe46a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5f81c1b4f1c4c3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1a1898282c1460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b0e4e6b37c84cc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6911b8818ee46ff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6733247f55b54c7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6.5" hidden="0" customWidth="1"/>
    <x:col min="3" max="3" width="16.25" hidden="0" customWidth="1"/>
    <x:col min="4" max="4" width="13.75" hidden="0" customWidth="1"/>
    <x:col min="5" max="5" width="13.130000114440918" hidden="0" customWidth="1"/>
    <x:col min="6" max="6" width="12.130000114440918" hidden="0" customWidth="1"/>
    <x:col min="7" max="7" width="14.880000114440918" hidden="0" customWidth="1"/>
    <x:col min="8" max="8" width="14.5" hidden="0" customWidth="1"/>
    <x:col min="9" max="9" width="16.75" hidden="0" customWidth="1"/>
    <x:col min="10" max="10" width="16.8799991607666" hidden="0" customWidth="1"/>
  </x:cols>
  <x:sheetData>
    <x:row r="1" ht="32" customHeight="1">
      <x:c r="A1" s="3" t="str">
        <x:v>Annual Revenue and Margin Trend</x:v>
      </x:c>
    </x:row>
    <x:row r="2" ht="24" customHeight="1">
      <x:c r="A2" s="6" t="str">
        <x:v>Seven complete recognized-reporting years; returns and adjustments retained</x:v>
      </x:c>
    </x:row>
    <x:row r="4" ht="15" hidden="0" customHeight="1">
      <x:c r="A4" s="34" t="str">
        <x:v>Per Year</x:v>
      </x:c>
      <x:c r="B4" s="34" t="str">
        <x:v>Reported Months</x:v>
      </x:c>
      <x:c r="C4" s="34" t="str">
        <x:v>Transaction Rows</x:v>
      </x:c>
      <x:c r="D4" s="34" t="str">
        <x:v>Total Revenue</x:v>
      </x:c>
      <x:c r="E4" s="34" t="str">
        <x:v>Total Cost</x:v>
      </x:c>
      <x:c r="F4" s="34" t="str">
        <x:v>Gross Profit</x:v>
      </x:c>
      <x:c r="G4" s="34" t="str">
        <x:v>Gross Margin %</x:v>
      </x:c>
      <x:c r="H4" s="34" t="str">
        <x:v>Revenue Yoy %</x:v>
      </x:c>
      <x:c r="I4" s="34" t="str">
        <x:v>Gross Profit Yoy %</x:v>
      </x:c>
      <x:c r="J4" s="34" t="str">
        <x:v>Margin Change pp</x:v>
      </x:c>
      <x:c r="L4" t="str">
        <x:v>Year</x:v>
      </x:c>
      <x:c r="M4" t="str">
        <x:v>Revenue ($M)</x:v>
      </x:c>
      <x:c r="N4" t="str">
        <x:v>Gross Profit ($M)</x:v>
      </x:c>
    </x:row>
    <x:row r="5" ht="15" hidden="0" customHeight="1">
      <x:c r="A5" s="35" t="n">
        <x:v>2018</x:v>
      </x:c>
      <x:c r="B5" s="36" t="n">
        <x:v>12</x:v>
      </x:c>
      <x:c r="C5" s="36" t="n">
        <x:v>406853</x:v>
      </x:c>
      <x:c r="D5" s="37" t="n">
        <x:v>79379032.43</x:v>
      </x:c>
      <x:c r="E5" s="37" t="n">
        <x:v>64175196.53</x:v>
      </x:c>
      <x:c r="F5" s="37" t="n">
        <x:v>15203835.9</x:v>
      </x:c>
      <x:c r="G5" s="38" t="n">
        <x:v>0.191535</x:v>
      </x:c>
      <x:c r="H5" s="38"/>
      <x:c r="I5" s="38"/>
      <x:c r="J5" s="39"/>
      <x:c r="L5" t="n">
        <x:v>2018</x:v>
      </x:c>
      <x:c r="M5" s="40" t="n">
        <x:v>79.37903243000001</x:v>
      </x:c>
      <x:c r="N5" s="40" t="n">
        <x:v>15.2038359</x:v>
      </x:c>
    </x:row>
    <x:row r="6" ht="15" hidden="0" customHeight="1">
      <x:c r="A6" s="35" t="n">
        <x:v>2019</x:v>
      </x:c>
      <x:c r="B6" s="36" t="n">
        <x:v>12</x:v>
      </x:c>
      <x:c r="C6" s="36" t="n">
        <x:v>435767</x:v>
      </x:c>
      <x:c r="D6" s="37" t="n">
        <x:v>82943093.53</x:v>
      </x:c>
      <x:c r="E6" s="37" t="n">
        <x:v>65967547.5</x:v>
      </x:c>
      <x:c r="F6" s="37" t="n">
        <x:v>16975546.03</x:v>
      </x:c>
      <x:c r="G6" s="38" t="n">
        <x:v>0.20466499999999999</x:v>
      </x:c>
      <x:c r="H6" s="38" t="n">
        <x:v>0.0449</x:v>
      </x:c>
      <x:c r="I6" s="38" t="n">
        <x:v>0.1165</x:v>
      </x:c>
      <x:c r="J6" s="39" t="n">
        <x:v>1.31</x:v>
      </x:c>
      <x:c r="L6" t="n">
        <x:v>2019</x:v>
      </x:c>
      <x:c r="M6" s="40" t="n">
        <x:v>82.94309353</x:v>
      </x:c>
      <x:c r="N6" s="40" t="n">
        <x:v>16.97554603</x:v>
      </x:c>
    </x:row>
    <x:row r="7" ht="15" hidden="0" customHeight="1">
      <x:c r="A7" s="35" t="n">
        <x:v>2020</x:v>
      </x:c>
      <x:c r="B7" s="36" t="n">
        <x:v>12</x:v>
      </x:c>
      <x:c r="C7" s="36" t="n">
        <x:v>494086</x:v>
      </x:c>
      <x:c r="D7" s="37" t="n">
        <x:v>88280945.31</x:v>
      </x:c>
      <x:c r="E7" s="37" t="n">
        <x:v>69358473.54</x:v>
      </x:c>
      <x:c r="F7" s="37" t="n">
        <x:v>18922471.76</x:v>
      </x:c>
      <x:c r="G7" s="38" t="n">
        <x:v>0.214344</x:v>
      </x:c>
      <x:c r="H7" s="38" t="n">
        <x:v>0.0644</x:v>
      </x:c>
      <x:c r="I7" s="38" t="n">
        <x:v>0.11470000000000001</x:v>
      </x:c>
      <x:c r="J7" s="39" t="n">
        <x:v>0.97</x:v>
      </x:c>
      <x:c r="L7" t="n">
        <x:v>2020</x:v>
      </x:c>
      <x:c r="M7" s="40" t="n">
        <x:v>88.28094531</x:v>
      </x:c>
      <x:c r="N7" s="40" t="n">
        <x:v>18.92247176</x:v>
      </x:c>
    </x:row>
    <x:row r="8" ht="15" hidden="0" customHeight="1">
      <x:c r="A8" s="35" t="n">
        <x:v>2021</x:v>
      </x:c>
      <x:c r="B8" s="36" t="n">
        <x:v>12</x:v>
      </x:c>
      <x:c r="C8" s="36" t="n">
        <x:v>541484</x:v>
      </x:c>
      <x:c r="D8" s="37" t="n">
        <x:v>102980539.09</x:v>
      </x:c>
      <x:c r="E8" s="37" t="n">
        <x:v>80954887.66</x:v>
      </x:c>
      <x:c r="F8" s="37" t="n">
        <x:v>22025651.43</x:v>
      </x:c>
      <x:c r="G8" s="38" t="n">
        <x:v>0.21388200000000002</x:v>
      </x:c>
      <x:c r="H8" s="38" t="n">
        <x:v>0.16649999999999998</x:v>
      </x:c>
      <x:c r="I8" s="38" t="n">
        <x:v>0.16399999999999998</x:v>
      </x:c>
      <x:c r="J8" s="39" t="n">
        <x:v>-0.05</x:v>
      </x:c>
      <x:c r="L8" t="n">
        <x:v>2021</x:v>
      </x:c>
      <x:c r="M8" s="40" t="n">
        <x:v>102.98053909000001</x:v>
      </x:c>
      <x:c r="N8" s="40" t="n">
        <x:v>22.02565143</x:v>
      </x:c>
    </x:row>
    <x:row r="9" ht="15" hidden="0" customHeight="1">
      <x:c r="A9" s="35" t="n">
        <x:v>2022</x:v>
      </x:c>
      <x:c r="B9" s="36" t="n">
        <x:v>12</x:v>
      </x:c>
      <x:c r="C9" s="36" t="n">
        <x:v>575457</x:v>
      </x:c>
      <x:c r="D9" s="37" t="n">
        <x:v>116355938.38</x:v>
      </x:c>
      <x:c r="E9" s="37" t="n">
        <x:v>91273482.02</x:v>
      </x:c>
      <x:c r="F9" s="37" t="n">
        <x:v>25082456.36</x:v>
      </x:c>
      <x:c r="G9" s="38" t="n">
        <x:v>0.21556699999999998</x:v>
      </x:c>
      <x:c r="H9" s="38" t="n">
        <x:v>0.12990000000000002</x:v>
      </x:c>
      <x:c r="I9" s="38" t="n">
        <x:v>0.1388</x:v>
      </x:c>
      <x:c r="J9" s="39" t="n">
        <x:v>0.17</x:v>
      </x:c>
      <x:c r="L9" t="n">
        <x:v>2022</x:v>
      </x:c>
      <x:c r="M9" s="40" t="n">
        <x:v>116.35593838</x:v>
      </x:c>
      <x:c r="N9" s="40" t="n">
        <x:v>25.08245636</x:v>
      </x:c>
    </x:row>
    <x:row r="10" ht="15" hidden="0" customHeight="1">
      <x:c r="A10" s="35" t="n">
        <x:v>2023</x:v>
      </x:c>
      <x:c r="B10" s="36" t="n">
        <x:v>12</x:v>
      </x:c>
      <x:c r="C10" s="36" t="n">
        <x:v>609604</x:v>
      </x:c>
      <x:c r="D10" s="37" t="n">
        <x:v>123507365.34</x:v>
      </x:c>
      <x:c r="E10" s="37" t="n">
        <x:v>96632481.02</x:v>
      </x:c>
      <x:c r="F10" s="37" t="n">
        <x:v>26874884.32</x:v>
      </x:c>
      <x:c r="G10" s="38" t="n">
        <x:v>0.21759699999999998</x:v>
      </x:c>
      <x:c r="H10" s="38" t="n">
        <x:v>0.061500000000000006</x:v>
      </x:c>
      <x:c r="I10" s="38" t="n">
        <x:v>0.07150000000000001</x:v>
      </x:c>
      <x:c r="J10" s="39" t="n">
        <x:v>0.2</x:v>
      </x:c>
      <x:c r="L10" t="n">
        <x:v>2023</x:v>
      </x:c>
      <x:c r="M10" s="40" t="n">
        <x:v>123.50736534</x:v>
      </x:c>
      <x:c r="N10" s="40" t="n">
        <x:v>26.87488432</x:v>
      </x:c>
    </x:row>
    <x:row r="11" ht="15" hidden="0" customHeight="1">
      <x:c r="A11" s="35" t="n">
        <x:v>2024</x:v>
      </x:c>
      <x:c r="B11" s="36" t="n">
        <x:v>12</x:v>
      </x:c>
      <x:c r="C11" s="36" t="n">
        <x:v>651369</x:v>
      </x:c>
      <x:c r="D11" s="37" t="n">
        <x:v>130976372.66</x:v>
      </x:c>
      <x:c r="E11" s="37" t="n">
        <x:v>102143857.49</x:v>
      </x:c>
      <x:c r="F11" s="37" t="n">
        <x:v>28832515.17</x:v>
      </x:c>
      <x:c r="G11" s="38" t="n">
        <x:v>0.220135</x:v>
      </x:c>
      <x:c r="H11" s="38" t="n">
        <x:v>0.0605</x:v>
      </x:c>
      <x:c r="I11" s="38" t="n">
        <x:v>0.0728</x:v>
      </x:c>
      <x:c r="J11" s="39" t="n">
        <x:v>0.25</x:v>
      </x:c>
      <x:c r="L11" t="n">
        <x:v>2024</x:v>
      </x:c>
      <x:c r="M11" s="40" t="n">
        <x:v>130.97637266</x:v>
      </x:c>
      <x:c r="N11" s="40" t="n">
        <x:v>28.83251517</x:v>
      </x:c>
    </x:row>
  </x:sheetData>
  <x:mergeCells>
    <x:mergeCell ref="A1:J1"/>
    <x:mergeCell ref="A2:J2"/>
  </x:mergeCells>
  <x:pageMargins left="0.7" right="0.7" top="0.75" bottom="0.75" header="0.3" footer="0.3"/>
  <x:drawing xmlns:r="http://schemas.openxmlformats.org/officeDocument/2006/relationships" r:id="R658c2c9457b54ae2"/>
  <x:tableParts count="1">
    <x:tablePart xmlns:r="http://schemas.openxmlformats.org/officeDocument/2006/relationships" r:id="R3d7f6187c185488f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4" hidden="0" customWidth="1"/>
    <x:col min="3" max="3" width="16.25" hidden="0" customWidth="1"/>
    <x:col min="4" max="4" width="15.380000114440918" hidden="0" customWidth="1"/>
    <x:col min="5" max="5" width="13.75" hidden="0" customWidth="1"/>
    <x:col min="6" max="6" width="13.130000114440918" hidden="0" customWidth="1"/>
    <x:col min="7" max="7" width="12.130000114440918" hidden="0" customWidth="1"/>
    <x:col min="8" max="8" width="14.880000114440918" hidden="0" customWidth="1"/>
    <x:col min="9" max="9" width="16.1299991607666" hidden="0" customWidth="1"/>
    <x:col min="10" max="10" width="18.5" hidden="0" customWidth="1"/>
    <x:col min="11" max="11" width="13.880000114440918" hidden="0" customWidth="1"/>
    <x:col min="12" max="12" width="16.1299991607666" hidden="0" customWidth="1"/>
    <x:col min="13" max="13" width="12.75" hidden="0" customWidth="1"/>
  </x:cols>
  <x:sheetData>
    <x:row r="1" ht="32" customHeight="1">
      <x:c r="A1" s="3" t="str">
        <x:v>Customer Segment Profitability</x:v>
      </x:c>
    </x:row>
    <x:row r="2" ht="24" customHeight="1">
      <x:c r="A2" s="6" t="str">
        <x:v>Historical transaction class is the reporting authority | 2018–2024</x:v>
      </x:c>
    </x:row>
    <x:row r="4" ht="15" hidden="0" customHeight="1">
      <x:c r="A4" s="34" t="str">
        <x:v>Customer Class</x:v>
      </x:c>
      <x:c r="B4" s="34" t="str">
        <x:v>Customer Class Description</x:v>
      </x:c>
      <x:c r="C4" s="34" t="str">
        <x:v>Transaction Rows</x:v>
      </x:c>
      <x:c r="D4" s="34" t="str">
        <x:v>Customer Count</x:v>
      </x:c>
      <x:c r="E4" s="34" t="str">
        <x:v>Total Revenue</x:v>
      </x:c>
      <x:c r="F4" s="34" t="str">
        <x:v>Total Cost</x:v>
      </x:c>
      <x:c r="G4" s="34" t="str">
        <x:v>Gross Profit</x:v>
      </x:c>
      <x:c r="H4" s="34" t="str">
        <x:v>Gross Margin %</x:v>
      </x:c>
      <x:c r="I4" s="34" t="str">
        <x:v>Revenue Share %</x:v>
      </x:c>
      <x:c r="J4" s="34" t="str">
        <x:v>Gross Profit Share %</x:v>
      </x:c>
      <x:c r="K4" s="34" t="str">
        <x:v>Revenue Rank</x:v>
      </x:c>
      <x:c r="L4" s="34" t="str">
        <x:v>Gross Profit Rank</x:v>
      </x:c>
      <x:c r="M4" s="34" t="str">
        <x:v>Margin Rank</x:v>
      </x:c>
    </x:row>
    <x:row r="5" ht="15" hidden="0" customHeight="1">
      <x:c r="A5" s="35" t="str">
        <x:v>2</x:v>
      </x:c>
      <x:c r="B5" s="35" t="str">
        <x:v>Independent Retail Accounts</x:v>
      </x:c>
      <x:c r="C5" s="36" t="n">
        <x:v>2021711</x:v>
      </x:c>
      <x:c r="D5" s="36" t="n">
        <x:v>1663</x:v>
      </x:c>
      <x:c r="E5" s="37" t="n">
        <x:v>353140177.88</x:v>
      </x:c>
      <x:c r="F5" s="37" t="n">
        <x:v>274068656.43</x:v>
      </x:c>
      <x:c r="G5" s="37" t="n">
        <x:v>79071521.45</x:v>
      </x:c>
      <x:c r="H5" s="38" t="n">
        <x:v>0.22390999999999997</x:v>
      </x:c>
      <x:c r="I5" s="38" t="n">
        <x:v>0.48747799999999997</x:v>
      </x:c>
      <x:c r="J5" s="38" t="n">
        <x:v>0.513727</x:v>
      </x:c>
      <x:c r="K5" s="36" t="n">
        <x:v>1</x:v>
      </x:c>
      <x:c r="L5" s="36" t="n">
        <x:v>1</x:v>
      </x:c>
      <x:c r="M5" s="36" t="n">
        <x:v>26</x:v>
      </x:c>
    </x:row>
    <x:row r="6" ht="15" hidden="0" customHeight="1">
      <x:c r="A6" s="35" t="str">
        <x:v>5</x:v>
      </x:c>
      <x:c r="B6" s="35" t="str">
        <x:v>Wholesale Trade Accounts</x:v>
      </x:c>
      <x:c r="C6" s="36" t="n">
        <x:v>275883</x:v>
      </x:c>
      <x:c r="D6" s="36" t="n">
        <x:v>365</x:v>
      </x:c>
      <x:c r="E6" s="37" t="n">
        <x:v>102318681.7</x:v>
      </x:c>
      <x:c r="F6" s="37" t="n">
        <x:v>82940507.34</x:v>
      </x:c>
      <x:c r="G6" s="37" t="n">
        <x:v>19378174.36</x:v>
      </x:c>
      <x:c r="H6" s="38" t="n">
        <x:v>0.18939</x:v>
      </x:c>
      <x:c r="I6" s="38" t="n">
        <x:v>0.141242</x:v>
      </x:c>
      <x:c r="J6" s="38" t="n">
        <x:v>0.1259</x:v>
      </x:c>
      <x:c r="K6" s="36" t="n">
        <x:v>2</x:v>
      </x:c>
      <x:c r="L6" s="36" t="n">
        <x:v>2</x:v>
      </x:c>
      <x:c r="M6" s="36" t="n">
        <x:v>48</x:v>
      </x:c>
    </x:row>
    <x:row r="7" ht="15" hidden="0" customHeight="1">
      <x:c r="A7" s="35" t="str">
        <x:v>4</x:v>
      </x:c>
      <x:c r="B7" s="35" t="str">
        <x:v>Commercial Service Accounts</x:v>
      </x:c>
      <x:c r="C7" s="36" t="n">
        <x:v>167095</x:v>
      </x:c>
      <x:c r="D7" s="36" t="n">
        <x:v>465</x:v>
      </x:c>
      <x:c r="E7" s="37" t="n">
        <x:v>43124288.42</x:v>
      </x:c>
      <x:c r="F7" s="37" t="n">
        <x:v>33702413.7</x:v>
      </x:c>
      <x:c r="G7" s="37" t="n">
        <x:v>9421874.72</x:v>
      </x:c>
      <x:c r="H7" s="38" t="n">
        <x:v>0.21848199999999998</x:v>
      </x:c>
      <x:c r="I7" s="38" t="n">
        <x:v>0.059529</x:v>
      </x:c>
      <x:c r="J7" s="38" t="n">
        <x:v>0.061214000000000005</x:v>
      </x:c>
      <x:c r="K7" s="36" t="n">
        <x:v>3</x:v>
      </x:c>
      <x:c r="L7" s="36" t="n">
        <x:v>3</x:v>
      </x:c>
      <x:c r="M7" s="36" t="n">
        <x:v>30</x:v>
      </x:c>
    </x:row>
    <x:row r="8" ht="15" hidden="0" customHeight="1">
      <x:c r="A8" s="35" t="str">
        <x:v>8</x:v>
      </x:c>
      <x:c r="B8" s="35" t="str">
        <x:v>Regional Retail Chain - Tier 2</x:v>
      </x:c>
      <x:c r="C8" s="36" t="n">
        <x:v>190433</x:v>
      </x:c>
      <x:c r="D8" s="36" t="n">
        <x:v>18</x:v>
      </x:c>
      <x:c r="E8" s="37" t="n">
        <x:v>29970666.86</x:v>
      </x:c>
      <x:c r="F8" s="37" t="n">
        <x:v>23983351.32</x:v>
      </x:c>
      <x:c r="G8" s="37" t="n">
        <x:v>5987315.54</x:v>
      </x:c>
      <x:c r="H8" s="38" t="n">
        <x:v>0.199773</x:v>
      </x:c>
      <x:c r="I8" s="38" t="n">
        <x:v>0.041372</x:v>
      </x:c>
      <x:c r="J8" s="38" t="n">
        <x:v>0.038900000000000004</x:v>
      </x:c>
      <x:c r="K8" s="36" t="n">
        <x:v>4</x:v>
      </x:c>
      <x:c r="L8" s="36" t="n">
        <x:v>4</x:v>
      </x:c>
      <x:c r="M8" s="36" t="n">
        <x:v>45</x:v>
      </x:c>
    </x:row>
    <x:row r="9" ht="15" hidden="0" customHeight="1">
      <x:c r="A9" s="35" t="str">
        <x:v>3</x:v>
      </x:c>
      <x:c r="B9" s="35" t="str">
        <x:v>National Retail Chains</x:v>
      </x:c>
      <x:c r="C9" s="36" t="n">
        <x:v>128899</x:v>
      </x:c>
      <x:c r="D9" s="36" t="n">
        <x:v>115</x:v>
      </x:c>
      <x:c r="E9" s="37" t="n">
        <x:v>21360862.49</x:v>
      </x:c>
      <x:c r="F9" s="37" t="n">
        <x:v>16780423.12</x:v>
      </x:c>
      <x:c r="G9" s="37" t="n">
        <x:v>4580439.37</x:v>
      </x:c>
      <x:c r="H9" s="38" t="n">
        <x:v>0.214431</x:v>
      </x:c>
      <x:c r="I9" s="38" t="n">
        <x:v>0.029487</x:v>
      </x:c>
      <x:c r="J9" s="38" t="n">
        <x:v>0.029759</x:v>
      </x:c>
      <x:c r="K9" s="36" t="n">
        <x:v>5</x:v>
      </x:c>
      <x:c r="L9" s="36" t="n">
        <x:v>5</x:v>
      </x:c>
      <x:c r="M9" s="36" t="n">
        <x:v>33</x:v>
      </x:c>
    </x:row>
    <x:row r="10" ht="15" hidden="0" customHeight="1">
      <x:c r="A10" s="35" t="str">
        <x:v>54</x:v>
      </x:c>
      <x:c r="B10" s="35" t="str">
        <x:v>Retail Cooperative Network</x:v>
      </x:c>
      <x:c r="C10" s="36" t="n">
        <x:v>126086</x:v>
      </x:c>
      <x:c r="D10" s="36" t="n">
        <x:v>106</x:v>
      </x:c>
      <x:c r="E10" s="37" t="n">
        <x:v>15915531.46</x:v>
      </x:c>
      <x:c r="F10" s="37" t="n">
        <x:v>12110166.11</x:v>
      </x:c>
      <x:c r="G10" s="37" t="n">
        <x:v>3805365.34</x:v>
      </x:c>
      <x:c r="H10" s="38" t="n">
        <x:v>0.239098</x:v>
      </x:c>
      <x:c r="I10" s="38" t="n">
        <x:v>0.02197</x:v>
      </x:c>
      <x:c r="J10" s="38" t="n">
        <x:v>0.024723000000000002</x:v>
      </x:c>
      <x:c r="K10" s="36" t="n">
        <x:v>6</x:v>
      </x:c>
      <x:c r="L10" s="36" t="n">
        <x:v>6</x:v>
      </x:c>
      <x:c r="M10" s="36" t="n">
        <x:v>15</x:v>
      </x:c>
    </x:row>
    <x:row r="11" ht="15" hidden="0" customHeight="1">
      <x:c r="A11" s="35" t="str">
        <x:v>26</x:v>
      </x:c>
      <x:c r="B11" s="35" t="str">
        <x:v>Suburban Retail Chain</x:v>
      </x:c>
      <x:c r="C11" s="36" t="n">
        <x:v>109788</x:v>
      </x:c>
      <x:c r="D11" s="36" t="n">
        <x:v>9</x:v>
      </x:c>
      <x:c r="E11" s="37" t="n">
        <x:v>15749424.85</x:v>
      </x:c>
      <x:c r="F11" s="37" t="n">
        <x:v>12203880.15</x:v>
      </x:c>
      <x:c r="G11" s="37" t="n">
        <x:v>3545544.7</x:v>
      </x:c>
      <x:c r="H11" s="38" t="n">
        <x:v>0.225122</x:v>
      </x:c>
      <x:c r="I11" s="38" t="n">
        <x:v>0.021741</x:v>
      </x:c>
      <x:c r="J11" s="38" t="n">
        <x:v>0.023035</x:v>
      </x:c>
      <x:c r="K11" s="36" t="n">
        <x:v>7</x:v>
      </x:c>
      <x:c r="L11" s="36" t="n">
        <x:v>7</x:v>
      </x:c>
      <x:c r="M11" s="36" t="n">
        <x:v>24</x:v>
      </x:c>
    </x:row>
    <x:row r="12" ht="15" hidden="0" customHeight="1">
      <x:c r="A12" s="35" t="str">
        <x:v>9</x:v>
      </x:c>
      <x:c r="B12" s="35" t="str">
        <x:v>Regional Retail Chain - Tier 3</x:v>
      </x:c>
      <x:c r="C12" s="36" t="n">
        <x:v>94135</x:v>
      </x:c>
      <x:c r="D12" s="36" t="n">
        <x:v>15</x:v>
      </x:c>
      <x:c r="E12" s="37" t="n">
        <x:v>14535478.67</x:v>
      </x:c>
      <x:c r="F12" s="37" t="n">
        <x:v>11591664.83</x:v>
      </x:c>
      <x:c r="G12" s="37" t="n">
        <x:v>2943813.84</x:v>
      </x:c>
      <x:c r="H12" s="38" t="n">
        <x:v>0.202526</x:v>
      </x:c>
      <x:c r="I12" s="38" t="n">
        <x:v>0.020065</x:v>
      </x:c>
      <x:c r="J12" s="38" t="n">
        <x:v>0.019126</x:v>
      </x:c>
      <x:c r="K12" s="36" t="n">
        <x:v>8</x:v>
      </x:c>
      <x:c r="L12" s="36" t="n">
        <x:v>8</x:v>
      </x:c>
      <x:c r="M12" s="36" t="n">
        <x:v>42</x:v>
      </x:c>
    </x:row>
    <x:row r="13" ht="15" hidden="0" customHeight="1">
      <x:c r="A13" s="35" t="str">
        <x:v>18</x:v>
      </x:c>
      <x:c r="B13" s="35" t="str">
        <x:v>Multi-Location Retail Group - Premium Tier</x:v>
      </x:c>
      <x:c r="C13" s="36" t="n">
        <x:v>65898</x:v>
      </x:c>
      <x:c r="D13" s="36" t="n">
        <x:v>33</x:v>
      </x:c>
      <x:c r="E13" s="37" t="n">
        <x:v>9146888.63</x:v>
      </x:c>
      <x:c r="F13" s="37" t="n">
        <x:v>7048815.41</x:v>
      </x:c>
      <x:c r="G13" s="37" t="n">
        <x:v>2098073.22</x:v>
      </x:c>
      <x:c r="H13" s="38" t="n">
        <x:v>0.229376</x:v>
      </x:c>
      <x:c r="I13" s="38" t="n">
        <x:v>0.012626</x:v>
      </x:c>
      <x:c r="J13" s="38" t="n">
        <x:v>0.013630999999999999</x:v>
      </x:c>
      <x:c r="K13" s="36" t="n">
        <x:v>9</x:v>
      </x:c>
      <x:c r="L13" s="36" t="n">
        <x:v>9</x:v>
      </x:c>
      <x:c r="M13" s="36" t="n">
        <x:v>19</x:v>
      </x:c>
    </x:row>
    <x:row r="14" ht="15" hidden="0" customHeight="1">
      <x:c r="A14" s="35" t="str">
        <x:v>6</x:v>
      </x:c>
      <x:c r="B14" s="35" t="str">
        <x:v>Commercial Supply Partners</x:v>
      </x:c>
      <x:c r="C14" s="36" t="n">
        <x:v>6552</x:v>
      </x:c>
      <x:c r="D14" s="36" t="n">
        <x:v>15</x:v>
      </x:c>
      <x:c r="E14" s="37" t="n">
        <x:v>7371384.56</x:v>
      </x:c>
      <x:c r="F14" s="37" t="n">
        <x:v>6236672.77</x:v>
      </x:c>
      <x:c r="G14" s="37" t="n">
        <x:v>1134711.79</x:v>
      </x:c>
      <x:c r="H14" s="38" t="n">
        <x:v>0.153935</x:v>
      </x:c>
      <x:c r="I14" s="38" t="n">
        <x:v>0.010176000000000001</x:v>
      </x:c>
      <x:c r="J14" s="38" t="n">
        <x:v>0.007372</x:v>
      </x:c>
      <x:c r="K14" s="36" t="n">
        <x:v>10</x:v>
      </x:c>
      <x:c r="L14" s="36" t="n">
        <x:v>15</x:v>
      </x:c>
      <x:c r="M14" s="36" t="n">
        <x:v>58</x:v>
      </x:c>
    </x:row>
    <x:row r="15" ht="15" hidden="0" customHeight="1">
      <x:c r="A15" s="35" t="str">
        <x:v>36</x:v>
      </x:c>
      <x:c r="B15" s="35" t="str">
        <x:v>Import Distribution Partner</x:v>
      </x:c>
      <x:c r="C15" s="36" t="n">
        <x:v>10079</x:v>
      </x:c>
      <x:c r="D15" s="36" t="n">
        <x:v>1</x:v>
      </x:c>
      <x:c r="E15" s="37" t="n">
        <x:v>7275125.35</x:v>
      </x:c>
      <x:c r="F15" s="37" t="n">
        <x:v>6166498.23</x:v>
      </x:c>
      <x:c r="G15" s="37" t="n">
        <x:v>1108627.12</x:v>
      </x:c>
      <x:c r="H15" s="38" t="n">
        <x:v>0.152386</x:v>
      </x:c>
      <x:c r="I15" s="38" t="n">
        <x:v>0.010043</x:v>
      </x:c>
      <x:c r="J15" s="38" t="n">
        <x:v>0.007203</x:v>
      </x:c>
      <x:c r="K15" s="36" t="n">
        <x:v>11</x:v>
      </x:c>
      <x:c r="L15" s="36" t="n">
        <x:v>16</x:v>
      </x:c>
      <x:c r="M15" s="36" t="n">
        <x:v>60</x:v>
      </x:c>
    </x:row>
    <x:row r="16" ht="15" hidden="0" customHeight="1">
      <x:c r="A16" s="35" t="str">
        <x:v>68</x:v>
      </x:c>
      <x:c r="B16" s="35" t="str">
        <x:v>Regional Multi-Unit Retail Chain</x:v>
      </x:c>
      <x:c r="C16" s="36" t="n">
        <x:v>38676</x:v>
      </x:c>
      <x:c r="D16" s="36" t="n">
        <x:v>5</x:v>
      </x:c>
      <x:c r="E16" s="37" t="n">
        <x:v>7240597.7</x:v>
      </x:c>
      <x:c r="F16" s="37" t="n">
        <x:v>5614200.04</x:v>
      </x:c>
      <x:c r="G16" s="37" t="n">
        <x:v>1626397.66</x:v>
      </x:c>
      <x:c r="H16" s="38" t="n">
        <x:v>0.224622</x:v>
      </x:c>
      <x:c r="I16" s="38" t="n">
        <x:v>0.009995</x:v>
      </x:c>
      <x:c r="J16" s="38" t="n">
        <x:v>0.010567</x:v>
      </x:c>
      <x:c r="K16" s="36" t="n">
        <x:v>12</x:v>
      </x:c>
      <x:c r="L16" s="36" t="n">
        <x:v>10</x:v>
      </x:c>
      <x:c r="M16" s="36" t="n">
        <x:v>25</x:v>
      </x:c>
    </x:row>
    <x:row r="17" ht="15" hidden="0" customHeight="1">
      <x:c r="A17" s="35" t="str">
        <x:v>25</x:v>
      </x:c>
      <x:c r="B17" s="35" t="str">
        <x:v>Premium Specialty Retailer</x:v>
      </x:c>
      <x:c r="C17" s="36" t="n">
        <x:v>39078</x:v>
      </x:c>
      <x:c r="D17" s="36" t="n">
        <x:v>4</x:v>
      </x:c>
      <x:c r="E17" s="37" t="n">
        <x:v>7146454.35</x:v>
      </x:c>
      <x:c r="F17" s="37" t="n">
        <x:v>5791363.02</x:v>
      </x:c>
      <x:c r="G17" s="37" t="n">
        <x:v>1355091.33</x:v>
      </x:c>
      <x:c r="H17" s="38" t="n">
        <x:v>0.189617</x:v>
      </x:c>
      <x:c r="I17" s="38" t="n">
        <x:v>0.009865</x:v>
      </x:c>
      <x:c r="J17" s="38" t="n">
        <x:v>0.008804</x:v>
      </x:c>
      <x:c r="K17" s="36" t="n">
        <x:v>13</x:v>
      </x:c>
      <x:c r="L17" s="36" t="n">
        <x:v>11</x:v>
      </x:c>
      <x:c r="M17" s="36" t="n">
        <x:v>47</x:v>
      </x:c>
    </x:row>
    <x:row r="18" ht="15" hidden="0" customHeight="1">
      <x:c r="A18" s="35" t="str">
        <x:v>29</x:v>
      </x:c>
      <x:c r="B18" s="35" t="str">
        <x:v>Niche Specialty Retailer</x:v>
      </x:c>
      <x:c r="C18" s="36" t="n">
        <x:v>9850</x:v>
      </x:c>
      <x:c r="D18" s="36" t="n">
        <x:v>4</x:v>
      </x:c>
      <x:c r="E18" s="37" t="n">
        <x:v>6578110.77</x:v>
      </x:c>
      <x:c r="F18" s="37" t="n">
        <x:v>5599009.19</x:v>
      </x:c>
      <x:c r="G18" s="37" t="n">
        <x:v>979101.58</x:v>
      </x:c>
      <x:c r="H18" s="38" t="n">
        <x:v>0.148842</x:v>
      </x:c>
      <x:c r="I18" s="38" t="n">
        <x:v>0.00908</x:v>
      </x:c>
      <x:c r="J18" s="38" t="n">
        <x:v>0.006361</x:v>
      </x:c>
      <x:c r="K18" s="36" t="n">
        <x:v>14</x:v>
      </x:c>
      <x:c r="L18" s="36" t="n">
        <x:v>19</x:v>
      </x:c>
      <x:c r="M18" s="36" t="n">
        <x:v>63</x:v>
      </x:c>
    </x:row>
    <x:row r="19" ht="15" hidden="0" customHeight="1">
      <x:c r="A19" s="35" t="str">
        <x:v>31</x:v>
      </x:c>
      <x:c r="B19" s="35" t="str">
        <x:v>Premium Specialty Operator</x:v>
      </x:c>
      <x:c r="C19" s="36" t="n">
        <x:v>11787</x:v>
      </x:c>
      <x:c r="D19" s="36" t="n">
        <x:v>6</x:v>
      </x:c>
      <x:c r="E19" s="37" t="n">
        <x:v>5962857.74</x:v>
      </x:c>
      <x:c r="F19" s="37" t="n">
        <x:v>4882146.55</x:v>
      </x:c>
      <x:c r="G19" s="37" t="n">
        <x:v>1080711.19</x:v>
      </x:c>
      <x:c r="H19" s="38" t="n">
        <x:v>0.18123999999999998</x:v>
      </x:c>
      <x:c r="I19" s="38" t="n">
        <x:v>0.008231</x:v>
      </x:c>
      <x:c r="J19" s="38" t="n">
        <x:v>0.0070209999999999995</x:v>
      </x:c>
      <x:c r="K19" s="36" t="n">
        <x:v>15</x:v>
      </x:c>
      <x:c r="L19" s="36" t="n">
        <x:v>17</x:v>
      </x:c>
      <x:c r="M19" s="36" t="n">
        <x:v>49</x:v>
      </x:c>
    </x:row>
    <x:row r="20" ht="15" hidden="0" customHeight="1">
      <x:c r="A20" s="35" t="str">
        <x:v>64</x:v>
      </x:c>
      <x:c r="B20" s="35" t="str">
        <x:v>Family-Owned Retail Business</x:v>
      </x:c>
      <x:c r="C20" s="36" t="n">
        <x:v>22780</x:v>
      </x:c>
      <x:c r="D20" s="36" t="n">
        <x:v>5</x:v>
      </x:c>
      <x:c r="E20" s="37" t="n">
        <x:v>5661920.63</x:v>
      </x:c>
      <x:c r="F20" s="37" t="n">
        <x:v>4512115.92</x:v>
      </x:c>
      <x:c r="G20" s="37" t="n">
        <x:v>1149804.7</x:v>
      </x:c>
      <x:c r="H20" s="38" t="n">
        <x:v>0.203077</x:v>
      </x:c>
      <x:c r="I20" s="38" t="n">
        <x:v>0.007816</x:v>
      </x:c>
      <x:c r="J20" s="38" t="n">
        <x:v>0.00747</x:v>
      </x:c>
      <x:c r="K20" s="36" t="n">
        <x:v>16</x:v>
      </x:c>
      <x:c r="L20" s="36" t="n">
        <x:v>14</x:v>
      </x:c>
      <x:c r="M20" s="36" t="n">
        <x:v>40</x:v>
      </x:c>
    </x:row>
    <x:row r="21" ht="15" hidden="0" customHeight="1">
      <x:c r="A21" s="35" t="str">
        <x:v>21</x:v>
      </x:c>
      <x:c r="B21" s="35" t="str">
        <x:v>Discount Retail Chain</x:v>
      </x:c>
      <x:c r="C21" s="36" t="n">
        <x:v>46819</x:v>
      </x:c>
      <x:c r="D21" s="36" t="n">
        <x:v>34</x:v>
      </x:c>
      <x:c r="E21" s="37" t="n">
        <x:v>5343073.9</x:v>
      </x:c>
      <x:c r="F21" s="37" t="n">
        <x:v>4083181.62</x:v>
      </x:c>
      <x:c r="G21" s="37" t="n">
        <x:v>1259892.28</x:v>
      </x:c>
      <x:c r="H21" s="38" t="n">
        <x:v>0.23579899999999998</x:v>
      </x:c>
      <x:c r="I21" s="38" t="n">
        <x:v>0.007376000000000001</x:v>
      </x:c>
      <x:c r="J21" s="38" t="n">
        <x:v>0.008186</x:v>
      </x:c>
      <x:c r="K21" s="36" t="n">
        <x:v>17</x:v>
      </x:c>
      <x:c r="L21" s="36" t="n">
        <x:v>12</x:v>
      </x:c>
      <x:c r="M21" s="36" t="n">
        <x:v>17</x:v>
      </x:c>
    </x:row>
    <x:row r="22" ht="15" hidden="0" customHeight="1">
      <x:c r="A22" s="35" t="str">
        <x:v>42</x:v>
      </x:c>
      <x:c r="B22" s="35" t="str">
        <x:v>Independent Distribution Partner</x:v>
      </x:c>
      <x:c r="C22" s="36" t="n">
        <x:v>45159</x:v>
      </x:c>
      <x:c r="D22" s="36" t="n">
        <x:v>10</x:v>
      </x:c>
      <x:c r="E22" s="37" t="n">
        <x:v>5087891.8</x:v>
      </x:c>
      <x:c r="F22" s="37" t="n">
        <x:v>3858986.32</x:v>
      </x:c>
      <x:c r="G22" s="37" t="n">
        <x:v>1228905.48</x:v>
      </x:c>
      <x:c r="H22" s="38" t="n">
        <x:v>0.241535</x:v>
      </x:c>
      <x:c r="I22" s="38" t="n">
        <x:v>0.007023000000000001</x:v>
      </x:c>
      <x:c r="J22" s="38" t="n">
        <x:v>0.007984</x:v>
      </x:c>
      <x:c r="K22" s="36" t="n">
        <x:v>18</x:v>
      </x:c>
      <x:c r="L22" s="36" t="n">
        <x:v>13</x:v>
      </x:c>
      <x:c r="M22" s="36" t="n">
        <x:v>11</x:v>
      </x:c>
    </x:row>
    <x:row r="23" ht="15" hidden="0" customHeight="1">
      <x:c r="A23" s="35" t="str">
        <x:v>38</x:v>
      </x:c>
      <x:c r="B23" s="35" t="str">
        <x:v>Cooperative Retail Affiliate</x:v>
      </x:c>
      <x:c r="C23" s="36" t="n">
        <x:v>17694</x:v>
      </x:c>
      <x:c r="D23" s="36" t="n">
        <x:v>4</x:v>
      </x:c>
      <x:c r="E23" s="37" t="n">
        <x:v>4937000.78</x:v>
      </x:c>
      <x:c r="F23" s="37" t="n">
        <x:v>4112419.57</x:v>
      </x:c>
      <x:c r="G23" s="37" t="n">
        <x:v>824581.22</x:v>
      </x:c>
      <x:c r="H23" s="38" t="n">
        <x:v>0.167021</x:v>
      </x:c>
      <x:c r="I23" s="38" t="n">
        <x:v>0.006815</x:v>
      </x:c>
      <x:c r="J23" s="38" t="n">
        <x:v>0.005357</x:v>
      </x:c>
      <x:c r="K23" s="36" t="n">
        <x:v>19</x:v>
      </x:c>
      <x:c r="L23" s="36" t="n">
        <x:v>21</x:v>
      </x:c>
      <x:c r="M23" s="36" t="n">
        <x:v>55</x:v>
      </x:c>
    </x:row>
    <x:row r="24" ht="15" hidden="0" customHeight="1">
      <x:c r="A24" s="35" t="str">
        <x:v>32</x:v>
      </x:c>
      <x:c r="B24" s="35" t="str">
        <x:v>High-End Urban Retailer</x:v>
      </x:c>
      <x:c r="C24" s="36" t="n">
        <x:v>3420</x:v>
      </x:c>
      <x:c r="D24" s="36" t="n">
        <x:v>2</x:v>
      </x:c>
      <x:c r="E24" s="37" t="n">
        <x:v>4697085.43</x:v>
      </x:c>
      <x:c r="F24" s="37" t="n">
        <x:v>3855302.71</x:v>
      </x:c>
      <x:c r="G24" s="37" t="n">
        <x:v>841782.72</x:v>
      </x:c>
      <x:c r="H24" s="38" t="n">
        <x:v>0.17921399999999998</x:v>
      </x:c>
      <x:c r="I24" s="38" t="n">
        <x:v>0.006484</x:v>
      </x:c>
      <x:c r="J24" s="38" t="n">
        <x:v>0.005469000000000001</x:v>
      </x:c>
      <x:c r="K24" s="36" t="n">
        <x:v>20</x:v>
      </x:c>
      <x:c r="L24" s="36" t="n">
        <x:v>20</x:v>
      </x:c>
      <x:c r="M24" s="36" t="n">
        <x:v>50</x:v>
      </x:c>
    </x:row>
    <x:row r="25" ht="15" hidden="0" customHeight="1">
      <x:c r="A25" s="35" t="str">
        <x:v>33</x:v>
      </x:c>
      <x:c r="B25" s="35" t="str">
        <x:v>Regional Specialty Market</x:v>
      </x:c>
      <x:c r="C25" s="36" t="n">
        <x:v>37592</x:v>
      </x:c>
      <x:c r="D25" s="36" t="n">
        <x:v>13</x:v>
      </x:c>
      <x:c r="E25" s="37" t="n">
        <x:v>4484414.44</x:v>
      </x:c>
      <x:c r="F25" s="37" t="n">
        <x:v>3411600.59</x:v>
      </x:c>
      <x:c r="G25" s="37" t="n">
        <x:v>1072813.86</x:v>
      </x:c>
      <x:c r="H25" s="38" t="n">
        <x:v>0.239232</x:v>
      </x:c>
      <x:c r="I25" s="38" t="n">
        <x:v>0.00619</x:v>
      </x:c>
      <x:c r="J25" s="38" t="n">
        <x:v>0.00697</x:v>
      </x:c>
      <x:c r="K25" s="36" t="n">
        <x:v>21</x:v>
      </x:c>
      <x:c r="L25" s="36" t="n">
        <x:v>18</x:v>
      </x:c>
      <x:c r="M25" s="36" t="n">
        <x:v>14</x:v>
      </x:c>
    </x:row>
    <x:row r="26" ht="15" hidden="0" customHeight="1">
      <x:c r="A26" s="35" t="str">
        <x:v>19</x:v>
      </x:c>
      <x:c r="B26" s="35" t="str">
        <x:v>Neighborhood Retail Group</x:v>
      </x:c>
      <x:c r="C26" s="36" t="n">
        <x:v>764</x:v>
      </x:c>
      <x:c r="D26" s="36" t="n">
        <x:v>11</x:v>
      </x:c>
      <x:c r="E26" s="37" t="n">
        <x:v>3695985.63</x:v>
      </x:c>
      <x:c r="F26" s="37" t="n">
        <x:v>3125963.72</x:v>
      </x:c>
      <x:c r="G26" s="37" t="n">
        <x:v>570021.9</x:v>
      </x:c>
      <x:c r="H26" s="38" t="n">
        <x:v>0.154227</x:v>
      </x:c>
      <x:c r="I26" s="38" t="n">
        <x:v>0.005102</x:v>
      </x:c>
      <x:c r="J26" s="38" t="n">
        <x:v>0.003703</x:v>
      </x:c>
      <x:c r="K26" s="36" t="n">
        <x:v>22</x:v>
      </x:c>
      <x:c r="L26" s="36" t="n">
        <x:v>23</x:v>
      </x:c>
      <x:c r="M26" s="36" t="n">
        <x:v>57</x:v>
      </x:c>
    </x:row>
    <x:row r="27" ht="15" hidden="0" customHeight="1">
      <x:c r="A27" s="35" t="str">
        <x:v>30</x:v>
      </x:c>
      <x:c r="B27" s="35" t="str">
        <x:v>International Retail Chain</x:v>
      </x:c>
      <x:c r="C27" s="36" t="n">
        <x:v>9858</x:v>
      </x:c>
      <x:c r="D27" s="36" t="n">
        <x:v>2</x:v>
      </x:c>
      <x:c r="E27" s="37" t="n">
        <x:v>3403626.6</x:v>
      </x:c>
      <x:c r="F27" s="37" t="n">
        <x:v>2895619.66</x:v>
      </x:c>
      <x:c r="G27" s="37" t="n">
        <x:v>508006.94</x:v>
      </x:c>
      <x:c r="H27" s="38" t="n">
        <x:v>0.149255</x:v>
      </x:c>
      <x:c r="I27" s="38" t="n">
        <x:v>0.004698</x:v>
      </x:c>
      <x:c r="J27" s="38" t="n">
        <x:v>0.003301</x:v>
      </x:c>
      <x:c r="K27" s="36" t="n">
        <x:v>23</x:v>
      </x:c>
      <x:c r="L27" s="36" t="n">
        <x:v>26</x:v>
      </x:c>
      <x:c r="M27" s="36" t="n">
        <x:v>62</x:v>
      </x:c>
    </x:row>
    <x:row r="28" ht="15" hidden="0" customHeight="1">
      <x:c r="A28" s="35" t="str">
        <x:v>17</x:v>
      </x:c>
      <x:c r="B28" s="35" t="str">
        <x:v>Mid-Size Retail Chain</x:v>
      </x:c>
      <x:c r="C28" s="36" t="n">
        <x:v>14661</x:v>
      </x:c>
      <x:c r="D28" s="36" t="n">
        <x:v>30</x:v>
      </x:c>
      <x:c r="E28" s="37" t="n">
        <x:v>3345911.89</x:v>
      </x:c>
      <x:c r="F28" s="37" t="n">
        <x:v>2831682.38</x:v>
      </x:c>
      <x:c r="G28" s="37" t="n">
        <x:v>514229.51</x:v>
      </x:c>
      <x:c r="H28" s="38" t="n">
        <x:v>0.153689</x:v>
      </x:c>
      <x:c r="I28" s="38" t="n">
        <x:v>0.004619</x:v>
      </x:c>
      <x:c r="J28" s="38" t="n">
        <x:v>0.0033410000000000002</x:v>
      </x:c>
      <x:c r="K28" s="36" t="n">
        <x:v>24</x:v>
      </x:c>
      <x:c r="L28" s="36" t="n">
        <x:v>25</x:v>
      </x:c>
      <x:c r="M28" s="36" t="n">
        <x:v>59</x:v>
      </x:c>
    </x:row>
    <x:row r="29" ht="15" hidden="0" customHeight="1">
      <x:c r="A29" s="35" t="str">
        <x:v>65</x:v>
      </x:c>
      <x:c r="B29" s="35" t="str">
        <x:v>Regional Specialty Retailer</x:v>
      </x:c>
      <x:c r="C29" s="36" t="n">
        <x:v>22872</x:v>
      </x:c>
      <x:c r="D29" s="36" t="n">
        <x:v>5</x:v>
      </x:c>
      <x:c r="E29" s="37" t="n">
        <x:v>3237656.49</x:v>
      </x:c>
      <x:c r="F29" s="37" t="n">
        <x:v>2434798.19</x:v>
      </x:c>
      <x:c r="G29" s="37" t="n">
        <x:v>802858.29</x:v>
      </x:c>
      <x:c r="H29" s="38" t="n">
        <x:v>0.247975</x:v>
      </x:c>
      <x:c r="I29" s="38" t="n">
        <x:v>0.004469</x:v>
      </x:c>
      <x:c r="J29" s="38" t="n">
        <x:v>0.005215999999999999</x:v>
      </x:c>
      <x:c r="K29" s="36" t="n">
        <x:v>25</x:v>
      </x:c>
      <x:c r="L29" s="36" t="n">
        <x:v>22</x:v>
      </x:c>
      <x:c r="M29" s="36" t="n">
        <x:v>8</x:v>
      </x:c>
    </x:row>
    <x:row r="30" ht="15" hidden="0" customHeight="1">
      <x:c r="A30" s="35" t="str">
        <x:v>27</x:v>
      </x:c>
      <x:c r="B30" s="35" t="str">
        <x:v>Urban Independent Retailer</x:v>
      </x:c>
      <x:c r="C30" s="36" t="n">
        <x:v>13811</x:v>
      </x:c>
      <x:c r="D30" s="36" t="n">
        <x:v>6</x:v>
      </x:c>
      <x:c r="E30" s="37" t="n">
        <x:v>3104253.35</x:v>
      </x:c>
      <x:c r="F30" s="37" t="n">
        <x:v>2562253.46</x:v>
      </x:c>
      <x:c r="G30" s="37" t="n">
        <x:v>541999.9</x:v>
      </x:c>
      <x:c r="H30" s="38" t="n">
        <x:v>0.174599</x:v>
      </x:c>
      <x:c r="I30" s="38" t="n">
        <x:v>0.004285</x:v>
      </x:c>
      <x:c r="J30" s="38" t="n">
        <x:v>0.0035210000000000003</x:v>
      </x:c>
      <x:c r="K30" s="36" t="n">
        <x:v>26</x:v>
      </x:c>
      <x:c r="L30" s="36" t="n">
        <x:v>24</x:v>
      </x:c>
      <x:c r="M30" s="36" t="n">
        <x:v>52</x:v>
      </x:c>
    </x:row>
    <x:row r="31" ht="15" hidden="0" customHeight="1">
      <x:c r="A31" s="35" t="str">
        <x:v>7</x:v>
      </x:c>
      <x:c r="B31" s="35" t="str">
        <x:v>Regional Retail Chain - Tier 1</x:v>
      </x:c>
      <x:c r="C31" s="36" t="n">
        <x:v>16868</x:v>
      </x:c>
      <x:c r="D31" s="36" t="n">
        <x:v>17</x:v>
      </x:c>
      <x:c r="E31" s="37" t="n">
        <x:v>2869139.73</x:v>
      </x:c>
      <x:c r="F31" s="37" t="n">
        <x:v>2387949.06</x:v>
      </x:c>
      <x:c r="G31" s="37" t="n">
        <x:v>481190.67</x:v>
      </x:c>
      <x:c r="H31" s="38" t="n">
        <x:v>0.167713</x:v>
      </x:c>
      <x:c r="I31" s="38" t="n">
        <x:v>0.003961</x:v>
      </x:c>
      <x:c r="J31" s="38" t="n">
        <x:v>0.003126</x:v>
      </x:c>
      <x:c r="K31" s="36" t="n">
        <x:v>27</x:v>
      </x:c>
      <x:c r="L31" s="36" t="n">
        <x:v>28</x:v>
      </x:c>
      <x:c r="M31" s="36" t="n">
        <x:v>54</x:v>
      </x:c>
    </x:row>
    <x:row r="32" ht="15" hidden="0" customHeight="1">
      <x:c r="A32" s="35" t="str">
        <x:v>23</x:v>
      </x:c>
      <x:c r="B32" s="35" t="str">
        <x:v>Value-Oriented Retail Chain</x:v>
      </x:c>
      <x:c r="C32" s="36" t="n">
        <x:v>13217</x:v>
      </x:c>
      <x:c r="D32" s="36" t="n">
        <x:v>27</x:v>
      </x:c>
      <x:c r="E32" s="37" t="n">
        <x:v>2363099.44</x:v>
      </x:c>
      <x:c r="F32" s="37" t="n">
        <x:v>1857278.55</x:v>
      </x:c>
      <x:c r="G32" s="37" t="n">
        <x:v>505820.89</x:v>
      </x:c>
      <x:c r="H32" s="38" t="n">
        <x:v>0.21405000000000002</x:v>
      </x:c>
      <x:c r="I32" s="38" t="n">
        <x:v>0.0032619999999999997</x:v>
      </x:c>
      <x:c r="J32" s="38" t="n">
        <x:v>0.003286</x:v>
      </x:c>
      <x:c r="K32" s="36" t="n">
        <x:v>28</x:v>
      </x:c>
      <x:c r="L32" s="36" t="n">
        <x:v>27</x:v>
      </x:c>
      <x:c r="M32" s="36" t="n">
        <x:v>34</x:v>
      </x:c>
    </x:row>
    <x:row r="33" ht="15" hidden="0" customHeight="1">
      <x:c r="A33" s="35" t="str">
        <x:v>40</x:v>
      </x:c>
      <x:c r="B33" s="35" t="str">
        <x:v>Suburban Independent Retailer</x:v>
      </x:c>
      <x:c r="C33" s="36" t="n">
        <x:v>12265</x:v>
      </x:c>
      <x:c r="D33" s="36" t="n">
        <x:v>5</x:v>
      </x:c>
      <x:c r="E33" s="37" t="n">
        <x:v>2149081.55</x:v>
      </x:c>
      <x:c r="F33" s="37" t="n">
        <x:v>1713415.39</x:v>
      </x:c>
      <x:c r="G33" s="37" t="n">
        <x:v>435666.16</x:v>
      </x:c>
      <x:c r="H33" s="38" t="n">
        <x:v>0.202722</x:v>
      </x:c>
      <x:c r="I33" s="38" t="n">
        <x:v>0.002967</x:v>
      </x:c>
      <x:c r="J33" s="38" t="n">
        <x:v>0.002831</x:v>
      </x:c>
      <x:c r="K33" s="36" t="n">
        <x:v>29</x:v>
      </x:c>
      <x:c r="L33" s="36" t="n">
        <x:v>30</x:v>
      </x:c>
      <x:c r="M33" s="36" t="n">
        <x:v>41</x:v>
      </x:c>
    </x:row>
    <x:row r="34" ht="15" hidden="0" customHeight="1">
      <x:c r="A34" s="35" t="str">
        <x:v>46</x:v>
      </x:c>
      <x:c r="B34" s="35" t="str">
        <x:v>Regional Retail Affiliate</x:v>
      </x:c>
      <x:c r="C34" s="36" t="n">
        <x:v>7968</x:v>
      </x:c>
      <x:c r="D34" s="36" t="n">
        <x:v>1</x:v>
      </x:c>
      <x:c r="E34" s="37" t="n">
        <x:v>2061966.55</x:v>
      </x:c>
      <x:c r="F34" s="37" t="n">
        <x:v>1590728.9</x:v>
      </x:c>
      <x:c r="G34" s="37" t="n">
        <x:v>471237.65</x:v>
      </x:c>
      <x:c r="H34" s="38" t="n">
        <x:v>0.228538</x:v>
      </x:c>
      <x:c r="I34" s="38" t="n">
        <x:v>0.002846</x:v>
      </x:c>
      <x:c r="J34" s="38" t="n">
        <x:v>0.0030620000000000005</x:v>
      </x:c>
      <x:c r="K34" s="36" t="n">
        <x:v>30</x:v>
      </x:c>
      <x:c r="L34" s="36" t="n">
        <x:v>29</x:v>
      </x:c>
      <x:c r="M34" s="36" t="n">
        <x:v>21</x:v>
      </x:c>
    </x:row>
    <x:row r="35" ht="15" hidden="0" customHeight="1">
      <x:c r="A35" s="35" t="str">
        <x:v>39</x:v>
      </x:c>
      <x:c r="B35" s="35" t="str">
        <x:v>International Specialty Retailer</x:v>
      </x:c>
      <x:c r="C35" s="36" t="n">
        <x:v>12023</x:v>
      </x:c>
      <x:c r="D35" s="36" t="n">
        <x:v>2</x:v>
      </x:c>
      <x:c r="E35" s="37" t="n">
        <x:v>1857690.54</x:v>
      </x:c>
      <x:c r="F35" s="37" t="n">
        <x:v>1430584.94</x:v>
      </x:c>
      <x:c r="G35" s="37" t="n">
        <x:v>427105.6</x:v>
      </x:c>
      <x:c r="H35" s="38" t="n">
        <x:v>0.229912</x:v>
      </x:c>
      <x:c r="I35" s="38" t="n">
        <x:v>0.0025640000000000003</x:v>
      </x:c>
      <x:c r="J35" s="38" t="n">
        <x:v>0.002775</x:v>
      </x:c>
      <x:c r="K35" s="36" t="n">
        <x:v>31</x:v>
      </x:c>
      <x:c r="L35" s="36" t="n">
        <x:v>31</x:v>
      </x:c>
      <x:c r="M35" s="36" t="n">
        <x:v>18</x:v>
      </x:c>
    </x:row>
    <x:row r="36" ht="15" hidden="0" customHeight="1">
      <x:c r="A36" s="35" t="str">
        <x:v>52</x:v>
      </x:c>
      <x:c r="B36" s="35" t="str">
        <x:v>Specialty Goods Retailer</x:v>
      </x:c>
      <x:c r="C36" s="36" t="n">
        <x:v>10080</x:v>
      </x:c>
      <x:c r="D36" s="36" t="n">
        <x:v>1</x:v>
      </x:c>
      <x:c r="E36" s="37" t="n">
        <x:v>1574927.65</x:v>
      </x:c>
      <x:c r="F36" s="37" t="n">
        <x:v>1251136.66</x:v>
      </x:c>
      <x:c r="G36" s="37" t="n">
        <x:v>323790.99</x:v>
      </x:c>
      <x:c r="H36" s="38" t="n">
        <x:v>0.205591</x:v>
      </x:c>
      <x:c r="I36" s="38" t="n">
        <x:v>0.002174</x:v>
      </x:c>
      <x:c r="J36" s="38" t="n">
        <x:v>0.002104</x:v>
      </x:c>
      <x:c r="K36" s="36" t="n">
        <x:v>32</x:v>
      </x:c>
      <x:c r="L36" s="36" t="n">
        <x:v>32</x:v>
      </x:c>
      <x:c r="M36" s="36" t="n">
        <x:v>37</x:v>
      </x:c>
    </x:row>
    <x:row r="37" ht="15" hidden="0" customHeight="1">
      <x:c r="A37" s="35" t="str">
        <x:v>35</x:v>
      </x:c>
      <x:c r="B37" s="35" t="str">
        <x:v>Regional Multi-Unit Operator</x:v>
      </x:c>
      <x:c r="C37" s="36" t="n">
        <x:v>11124</x:v>
      </x:c>
      <x:c r="D37" s="36" t="n">
        <x:v>17</x:v>
      </x:c>
      <x:c r="E37" s="37" t="n">
        <x:v>1277993.16</x:v>
      </x:c>
      <x:c r="F37" s="37" t="n">
        <x:v>1016013.97</x:v>
      </x:c>
      <x:c r="G37" s="37" t="n">
        <x:v>261979.18</x:v>
      </x:c>
      <x:c r="H37" s="38" t="n">
        <x:v>0.204993</x:v>
      </x:c>
      <x:c r="I37" s="38" t="n">
        <x:v>0.001764</x:v>
      </x:c>
      <x:c r="J37" s="38" t="n">
        <x:v>0.001702</x:v>
      </x:c>
      <x:c r="K37" s="36" t="n">
        <x:v>33</x:v>
      </x:c>
      <x:c r="L37" s="36" t="n">
        <x:v>34</x:v>
      </x:c>
      <x:c r="M37" s="36" t="n">
        <x:v>38</x:v>
      </x:c>
    </x:row>
    <x:row r="38" ht="15" hidden="0" customHeight="1">
      <x:c r="A38" s="35" t="str">
        <x:v>41</x:v>
      </x:c>
      <x:c r="B38" s="35" t="str">
        <x:v>Village Retail Operator</x:v>
      </x:c>
      <x:c r="C38" s="36" t="n">
        <x:v>8023</x:v>
      </x:c>
      <x:c r="D38" s="36" t="n">
        <x:v>15</x:v>
      </x:c>
      <x:c r="E38" s="37" t="n">
        <x:v>1249581.84</x:v>
      </x:c>
      <x:c r="F38" s="37" t="n">
        <x:v>974445.58</x:v>
      </x:c>
      <x:c r="G38" s="37" t="n">
        <x:v>275136.27</x:v>
      </x:c>
      <x:c r="H38" s="38" t="n">
        <x:v>0.220183</x:v>
      </x:c>
      <x:c r="I38" s="38" t="n">
        <x:v>0.001725</x:v>
      </x:c>
      <x:c r="J38" s="38" t="n">
        <x:v>0.0017879999999999999</x:v>
      </x:c>
      <x:c r="K38" s="36" t="n">
        <x:v>34</x:v>
      </x:c>
      <x:c r="L38" s="36" t="n">
        <x:v>33</x:v>
      </x:c>
      <x:c r="M38" s="36" t="n">
        <x:v>28</x:v>
      </x:c>
    </x:row>
    <x:row r="39" ht="15" hidden="0" customHeight="1">
      <x:c r="A39" s="35" t="str">
        <x:v>50</x:v>
      </x:c>
      <x:c r="B39" s="35" t="str">
        <x:v>Farm &amp; Specialty Market</x:v>
      </x:c>
      <x:c r="C39" s="36" t="n">
        <x:v>3208</x:v>
      </x:c>
      <x:c r="D39" s="36" t="n">
        <x:v>1</x:v>
      </x:c>
      <x:c r="E39" s="37" t="n">
        <x:v>1154527.22</x:v>
      </x:c>
      <x:c r="F39" s="37" t="n">
        <x:v>956316.24</x:v>
      </x:c>
      <x:c r="G39" s="37" t="n">
        <x:v>198210.98</x:v>
      </x:c>
      <x:c r="H39" s="38" t="n">
        <x:v>0.171682</x:v>
      </x:c>
      <x:c r="I39" s="38" t="n">
        <x:v>0.001594</x:v>
      </x:c>
      <x:c r="J39" s="38" t="n">
        <x:v>0.001288</x:v>
      </x:c>
      <x:c r="K39" s="36" t="n">
        <x:v>35</x:v>
      </x:c>
      <x:c r="L39" s="36" t="n">
        <x:v>41</x:v>
      </x:c>
      <x:c r="M39" s="36" t="n">
        <x:v>53</x:v>
      </x:c>
    </x:row>
    <x:row r="40" ht="15" hidden="0" customHeight="1">
      <x:c r="A40" s="35" t="str">
        <x:v>24</x:v>
      </x:c>
      <x:c r="B40" s="35" t="str">
        <x:v>Metropolitan Retail Group</x:v>
      </x:c>
      <x:c r="C40" s="36" t="n">
        <x:v>10183</x:v>
      </x:c>
      <x:c r="D40" s="36" t="n">
        <x:v>6</x:v>
      </x:c>
      <x:c r="E40" s="37" t="n">
        <x:v>1113771.97</x:v>
      </x:c>
      <x:c r="F40" s="37" t="n">
        <x:v>870831.56</x:v>
      </x:c>
      <x:c r="G40" s="37" t="n">
        <x:v>242940.4</x:v>
      </x:c>
      <x:c r="H40" s="38" t="n">
        <x:v>0.218124</x:v>
      </x:c>
      <x:c r="I40" s="38" t="n">
        <x:v>0.001537</x:v>
      </x:c>
      <x:c r="J40" s="38" t="n">
        <x:v>0.001578</x:v>
      </x:c>
      <x:c r="K40" s="36" t="n">
        <x:v>36</x:v>
      </x:c>
      <x:c r="L40" s="36" t="n">
        <x:v>36</x:v>
      </x:c>
      <x:c r="M40" s="36" t="n">
        <x:v>31</x:v>
      </x:c>
    </x:row>
    <x:row r="41" ht="15" hidden="0" customHeight="1">
      <x:c r="A41" s="35" t="str">
        <x:v>20</x:v>
      </x:c>
      <x:c r="B41" s="35" t="str">
        <x:v>Cooperative Member Account</x:v>
      </x:c>
      <x:c r="C41" s="36" t="n">
        <x:v>8292</x:v>
      </x:c>
      <x:c r="D41" s="36" t="n">
        <x:v>9</x:v>
      </x:c>
      <x:c r="E41" s="37" t="n">
        <x:v>1033030.15</x:v>
      </x:c>
      <x:c r="F41" s="37" t="n">
        <x:v>783998.54</x:v>
      </x:c>
      <x:c r="G41" s="37" t="n">
        <x:v>249031.61</x:v>
      </x:c>
      <x:c r="H41" s="38" t="n">
        <x:v>0.241069</x:v>
      </x:c>
      <x:c r="I41" s="38" t="n">
        <x:v>0.001426</x:v>
      </x:c>
      <x:c r="J41" s="38" t="n">
        <x:v>0.001618</x:v>
      </x:c>
      <x:c r="K41" s="36" t="n">
        <x:v>37</x:v>
      </x:c>
      <x:c r="L41" s="36" t="n">
        <x:v>35</x:v>
      </x:c>
      <x:c r="M41" s="36" t="n">
        <x:v>12</x:v>
      </x:c>
    </x:row>
    <x:row r="42" ht="15" hidden="0" customHeight="1">
      <x:c r="A42" s="35" t="str">
        <x:v>14</x:v>
      </x:c>
      <x:c r="B42" s="35" t="str">
        <x:v>Specialty Retail - Small Format</x:v>
      </x:c>
      <x:c r="C42" s="36" t="n">
        <x:v>2162</x:v>
      </x:c>
      <x:c r="D42" s="36" t="n">
        <x:v>25</x:v>
      </x:c>
      <x:c r="E42" s="37" t="n">
        <x:v>1012865.76</x:v>
      </x:c>
      <x:c r="F42" s="37" t="n">
        <x:v>771542.56</x:v>
      </x:c>
      <x:c r="G42" s="37" t="n">
        <x:v>241323.2</x:v>
      </x:c>
      <x:c r="H42" s="38" t="n">
        <x:v>0.238258</x:v>
      </x:c>
      <x:c r="I42" s="38" t="n">
        <x:v>0.0013980000000000002</x:v>
      </x:c>
      <x:c r="J42" s="38" t="n">
        <x:v>0.001568</x:v>
      </x:c>
      <x:c r="K42" s="36" t="n">
        <x:v>38</x:v>
      </x:c>
      <x:c r="L42" s="36" t="n">
        <x:v>37</x:v>
      </x:c>
      <x:c r="M42" s="36" t="n">
        <x:v>16</x:v>
      </x:c>
    </x:row>
    <x:row r="43" ht="15" hidden="0" customHeight="1">
      <x:c r="A43" s="35" t="str">
        <x:v>43</x:v>
      </x:c>
      <x:c r="B43" s="35" t="str">
        <x:v>Event &amp; Promotional Accounts</x:v>
      </x:c>
      <x:c r="C43" s="36" t="n">
        <x:v>9715</x:v>
      </x:c>
      <x:c r="D43" s="36" t="n">
        <x:v>8</x:v>
      </x:c>
      <x:c r="E43" s="37" t="n">
        <x:v>971103.35</x:v>
      </x:c>
      <x:c r="F43" s="37" t="n">
        <x:v>755459.51</x:v>
      </x:c>
      <x:c r="G43" s="37" t="n">
        <x:v>215643.84</x:v>
      </x:c>
      <x:c r="H43" s="38" t="n">
        <x:v>0.22206099999999998</x:v>
      </x:c>
      <x:c r="I43" s="38" t="n">
        <x:v>0.001341</x:v>
      </x:c>
      <x:c r="J43" s="38" t="n">
        <x:v>0.0014010000000000001</x:v>
      </x:c>
      <x:c r="K43" s="36" t="n">
        <x:v>39</x:v>
      </x:c>
      <x:c r="L43" s="36" t="n">
        <x:v>39</x:v>
      </x:c>
      <x:c r="M43" s="36" t="n">
        <x:v>27</x:v>
      </x:c>
    </x:row>
    <x:row r="44" ht="15" hidden="0" customHeight="1">
      <x:c r="A44" s="35" t="str">
        <x:v>55</x:v>
      </x:c>
      <x:c r="B44" s="35" t="str">
        <x:v>Large Regional Retail Chain</x:v>
      </x:c>
      <x:c r="C44" s="36" t="n">
        <x:v>6825</x:v>
      </x:c>
      <x:c r="D44" s="36" t="n">
        <x:v>12</x:v>
      </x:c>
      <x:c r="E44" s="37" t="n">
        <x:v>919618.29</x:v>
      </x:c>
      <x:c r="F44" s="37" t="n">
        <x:v>693396.49</x:v>
      </x:c>
      <x:c r="G44" s="37" t="n">
        <x:v>226221.8</x:v>
      </x:c>
      <x:c r="H44" s="38" t="n">
        <x:v>0.245995</x:v>
      </x:c>
      <x:c r="I44" s="38" t="n">
        <x:v>0.0012690000000000002</x:v>
      </x:c>
      <x:c r="J44" s="38" t="n">
        <x:v>0.00147</x:v>
      </x:c>
      <x:c r="K44" s="36" t="n">
        <x:v>40</x:v>
      </x:c>
      <x:c r="L44" s="36" t="n">
        <x:v>38</x:v>
      </x:c>
      <x:c r="M44" s="36" t="n">
        <x:v>10</x:v>
      </x:c>
    </x:row>
    <x:row r="45" ht="15" hidden="0" customHeight="1">
      <x:c r="A45" s="35" t="str">
        <x:v>48</x:v>
      </x:c>
      <x:c r="B45" s="35" t="str">
        <x:v>Specialty Beverage Retailer</x:v>
      </x:c>
      <x:c r="C45" s="36" t="n">
        <x:v>7532</x:v>
      </x:c>
      <x:c r="D45" s="36" t="n">
        <x:v>12</x:v>
      </x:c>
      <x:c r="E45" s="37" t="n">
        <x:v>809854.32</x:v>
      </x:c>
      <x:c r="F45" s="37" t="n">
        <x:v>607007.75</x:v>
      </x:c>
      <x:c r="G45" s="37" t="n">
        <x:v>202846.58</x:v>
      </x:c>
      <x:c r="H45" s="38" t="n">
        <x:v>0.250473</x:v>
      </x:c>
      <x:c r="I45" s="38" t="n">
        <x:v>0.001118</x:v>
      </x:c>
      <x:c r="J45" s="38" t="n">
        <x:v>0.001318</x:v>
      </x:c>
      <x:c r="K45" s="36" t="n">
        <x:v>41</x:v>
      </x:c>
      <x:c r="L45" s="36" t="n">
        <x:v>40</x:v>
      </x:c>
      <x:c r="M45" s="36" t="n">
        <x:v>7</x:v>
      </x:c>
    </x:row>
    <x:row r="46" ht="15" hidden="0" customHeight="1">
      <x:c r="A46" s="35" t="str">
        <x:v>61</x:v>
      </x:c>
      <x:c r="B46" s="35" t="str">
        <x:v>Commercial Supply Vendor</x:v>
      </x:c>
      <x:c r="C46" s="36" t="n">
        <x:v>2901</x:v>
      </x:c>
      <x:c r="D46" s="36" t="n">
        <x:v>1</x:v>
      </x:c>
      <x:c r="E46" s="37" t="n">
        <x:v>792457.42</x:v>
      </x:c>
      <x:c r="F46" s="37" t="n">
        <x:v>671963.77</x:v>
      </x:c>
      <x:c r="G46" s="37" t="n">
        <x:v>120493.66</x:v>
      </x:c>
      <x:c r="H46" s="38" t="n">
        <x:v>0.152051</x:v>
      </x:c>
      <x:c r="I46" s="38" t="n">
        <x:v>0.001094</x:v>
      </x:c>
      <x:c r="J46" s="38" t="n">
        <x:v>0.000783</x:v>
      </x:c>
      <x:c r="K46" s="36" t="n">
        <x:v>42</x:v>
      </x:c>
      <x:c r="L46" s="36" t="n">
        <x:v>46</x:v>
      </x:c>
      <x:c r="M46" s="36" t="n">
        <x:v>61</x:v>
      </x:c>
    </x:row>
    <x:row r="47" ht="15" hidden="0" customHeight="1">
      <x:c r="A47" s="35" t="str">
        <x:v>63</x:v>
      </x:c>
      <x:c r="B47" s="35" t="str">
        <x:v>Destination Retail Location</x:v>
      </x:c>
      <x:c r="C47" s="36" t="n">
        <x:v>1328</x:v>
      </x:c>
      <x:c r="D47" s="36" t="n">
        <x:v>8</x:v>
      </x:c>
      <x:c r="E47" s="37" t="n">
        <x:v>775403.37</x:v>
      </x:c>
      <x:c r="F47" s="37" t="n">
        <x:v>617684.23</x:v>
      </x:c>
      <x:c r="G47" s="37" t="n">
        <x:v>157719.14</x:v>
      </x:c>
      <x:c r="H47" s="38" t="n">
        <x:v>0.203403</x:v>
      </x:c>
      <x:c r="I47" s="38" t="n">
        <x:v>0.00107</x:v>
      </x:c>
      <x:c r="J47" s="38" t="n">
        <x:v>0.0010249999999999999</x:v>
      </x:c>
      <x:c r="K47" s="36" t="n">
        <x:v>43</x:v>
      </x:c>
      <x:c r="L47" s="36" t="n">
        <x:v>43</x:v>
      </x:c>
      <x:c r="M47" s="36" t="n">
        <x:v>39</x:v>
      </x:c>
    </x:row>
    <x:row r="48" ht="15" hidden="0" customHeight="1">
      <x:c r="A48" s="35" t="str">
        <x:v>59</x:v>
      </x:c>
      <x:c r="B48" s="35" t="str">
        <x:v>Import Marketplace Partner</x:v>
      </x:c>
      <x:c r="C48" s="36" t="n">
        <x:v>1503</x:v>
      </x:c>
      <x:c r="D48" s="36" t="n">
        <x:v>2</x:v>
      </x:c>
      <x:c r="E48" s="37" t="n">
        <x:v>706163.08</x:v>
      </x:c>
      <x:c r="F48" s="37" t="n">
        <x:v>546806.89</x:v>
      </x:c>
      <x:c r="G48" s="37" t="n">
        <x:v>159356.2</x:v>
      </x:c>
      <x:c r="H48" s="38" t="n">
        <x:v>0.225665</x:v>
      </x:c>
      <x:c r="I48" s="38" t="n">
        <x:v>0.0009750000000000001</x:v>
      </x:c>
      <x:c r="J48" s="38" t="n">
        <x:v>0.001035</x:v>
      </x:c>
      <x:c r="K48" s="36" t="n">
        <x:v>44</x:v>
      </x:c>
      <x:c r="L48" s="36" t="n">
        <x:v>42</x:v>
      </x:c>
      <x:c r="M48" s="36" t="n">
        <x:v>23</x:v>
      </x:c>
    </x:row>
    <x:row r="49" ht="15" hidden="0" customHeight="1">
      <x:c r="A49" s="35" t="str">
        <x:v>11</x:v>
      </x:c>
      <x:c r="B49" s="35" t="str">
        <x:v>Manufacturing Partners</x:v>
      </x:c>
      <x:c r="C49" s="36" t="n">
        <x:v>773</x:v>
      </x:c>
      <x:c r="D49" s="36" t="n">
        <x:v>18</x:v>
      </x:c>
      <x:c r="E49" s="37" t="n">
        <x:v>696976.82</x:v>
      </x:c>
      <x:c r="F49" s="37" t="n">
        <x:v>582413.03</x:v>
      </x:c>
      <x:c r="G49" s="37" t="n">
        <x:v>114563.79</x:v>
      </x:c>
      <x:c r="H49" s="38" t="n">
        <x:v>0.16437200000000002</x:v>
      </x:c>
      <x:c r="I49" s="38" t="n">
        <x:v>0.000962</x:v>
      </x:c>
      <x:c r="J49" s="38" t="n">
        <x:v>0.000744</x:v>
      </x:c>
      <x:c r="K49" s="36" t="n">
        <x:v>45</x:v>
      </x:c>
      <x:c r="L49" s="36" t="n">
        <x:v>47</x:v>
      </x:c>
      <x:c r="M49" s="36" t="n">
        <x:v>56</x:v>
      </x:c>
    </x:row>
    <x:row r="50" ht="15" hidden="0" customHeight="1">
      <x:c r="A50" s="35" t="str">
        <x:v>53</x:v>
      </x:c>
      <x:c r="B50" s="35" t="str">
        <x:v>Wine &amp; Spirits Retailer</x:v>
      </x:c>
      <x:c r="C50" s="36" t="n">
        <x:v>3004</x:v>
      </x:c>
      <x:c r="D50" s="36" t="n">
        <x:v>4</x:v>
      </x:c>
      <x:c r="E50" s="37" t="n">
        <x:v>541469.86</x:v>
      </x:c>
      <x:c r="F50" s="37" t="n">
        <x:v>390569.75</x:v>
      </x:c>
      <x:c r="G50" s="37" t="n">
        <x:v>150900.11</x:v>
      </x:c>
      <x:c r="H50" s="38" t="n">
        <x:v>0.278686</x:v>
      </x:c>
      <x:c r="I50" s="38" t="n">
        <x:v>0.000747</x:v>
      </x:c>
      <x:c r="J50" s="38" t="n">
        <x:v>0.00098</x:v>
      </x:c>
      <x:c r="K50" s="36" t="n">
        <x:v>46</x:v>
      </x:c>
      <x:c r="L50" s="36" t="n">
        <x:v>44</x:v>
      </x:c>
      <x:c r="M50" s="36" t="n">
        <x:v>4</x:v>
      </x:c>
    </x:row>
    <x:row r="51" ht="15" hidden="0" customHeight="1">
      <x:c r="A51" s="35" t="str">
        <x:v>56</x:v>
      </x:c>
      <x:c r="B51" s="35" t="str">
        <x:v>National Retail Affiliate</x:v>
      </x:c>
      <x:c r="C51" s="36" t="n">
        <x:v>4218</x:v>
      </x:c>
      <x:c r="D51" s="36" t="n">
        <x:v>8</x:v>
      </x:c>
      <x:c r="E51" s="37" t="n">
        <x:v>533909.42</x:v>
      </x:c>
      <x:c r="F51" s="37" t="n">
        <x:v>405536.88</x:v>
      </x:c>
      <x:c r="G51" s="37" t="n">
        <x:v>128372.54</x:v>
      </x:c>
      <x:c r="H51" s="38" t="n">
        <x:v>0.240439</x:v>
      </x:c>
      <x:c r="I51" s="38" t="n">
        <x:v>0.000737</x:v>
      </x:c>
      <x:c r="J51" s="38" t="n">
        <x:v>0.000834</x:v>
      </x:c>
      <x:c r="K51" s="36" t="n">
        <x:v>47</x:v>
      </x:c>
      <x:c r="L51" s="36" t="n">
        <x:v>45</x:v>
      </x:c>
      <x:c r="M51" s="36" t="n">
        <x:v>13</x:v>
      </x:c>
    </x:row>
    <x:row r="52" ht="15" hidden="0" customHeight="1">
      <x:c r="A52" s="35" t="str">
        <x:v>45</x:v>
      </x:c>
      <x:c r="B52" s="35" t="str">
        <x:v>Boutique Retail Operator</x:v>
      </x:c>
      <x:c r="C52" s="36" t="n">
        <x:v>3097</x:v>
      </x:c>
      <x:c r="D52" s="36" t="n">
        <x:v>2</x:v>
      </x:c>
      <x:c r="E52" s="37" t="n">
        <x:v>502991.19</x:v>
      </x:c>
      <x:c r="F52" s="37" t="n">
        <x:v>394139.81</x:v>
      </x:c>
      <x:c r="G52" s="37" t="n">
        <x:v>108851.39</x:v>
      </x:c>
      <x:c r="H52" s="38" t="n">
        <x:v>0.216408</x:v>
      </x:c>
      <x:c r="I52" s="38" t="n">
        <x:v>0.0006940000000000001</x:v>
      </x:c>
      <x:c r="J52" s="38" t="n">
        <x:v>0.000707</x:v>
      </x:c>
      <x:c r="K52" s="36" t="n">
        <x:v>48</x:v>
      </x:c>
      <x:c r="L52" s="36" t="n">
        <x:v>48</x:v>
      </x:c>
      <x:c r="M52" s="36" t="n">
        <x:v>32</x:v>
      </x:c>
    </x:row>
    <x:row r="53" ht="15" hidden="0" customHeight="1">
      <x:c r="A53" s="35" t="str">
        <x:v>22</x:v>
      </x:c>
      <x:c r="B53" s="35" t="str">
        <x:v>Institutional Buyer</x:v>
      </x:c>
      <x:c r="C53" s="36" t="n">
        <x:v>2135</x:v>
      </x:c>
      <x:c r="D53" s="36" t="n">
        <x:v>4</x:v>
      </x:c>
      <x:c r="E53" s="37" t="n">
        <x:v>473483.57</x:v>
      </x:c>
      <x:c r="F53" s="37" t="n">
        <x:v>372235.28</x:v>
      </x:c>
      <x:c r="G53" s="37" t="n">
        <x:v>101248.29</x:v>
      </x:c>
      <x:c r="H53" s="38" t="n">
        <x:v>0.213837</x:v>
      </x:c>
      <x:c r="I53" s="38" t="n">
        <x:v>0.000654</x:v>
      </x:c>
      <x:c r="J53" s="38" t="n">
        <x:v>0.000658</x:v>
      </x:c>
      <x:c r="K53" s="36" t="n">
        <x:v>49</x:v>
      </x:c>
      <x:c r="L53" s="36" t="n">
        <x:v>49</x:v>
      </x:c>
      <x:c r="M53" s="36" t="n">
        <x:v>35</x:v>
      </x:c>
    </x:row>
    <x:row r="54" ht="15" hidden="0" customHeight="1">
      <x:c r="A54" s="35" t="str">
        <x:v>37</x:v>
      </x:c>
      <x:c r="B54" s="35" t="str">
        <x:v>Legacy Customer</x:v>
      </x:c>
      <x:c r="C54" s="36" t="n">
        <x:v>2232</x:v>
      </x:c>
      <x:c r="D54" s="36" t="n">
        <x:v>1</x:v>
      </x:c>
      <x:c r="E54" s="37" t="n">
        <x:v>463251.08</x:v>
      </x:c>
      <x:c r="F54" s="37" t="n">
        <x:v>372107.23</x:v>
      </x:c>
      <x:c r="G54" s="37" t="n">
        <x:v>91143.85</x:v>
      </x:c>
      <x:c r="H54" s="38" t="n">
        <x:v>0.196748</x:v>
      </x:c>
      <x:c r="I54" s="38" t="n">
        <x:v>0.000639</x:v>
      </x:c>
      <x:c r="J54" s="38" t="n">
        <x:v>0.0005920000000000001</x:v>
      </x:c>
      <x:c r="K54" s="36" t="n">
        <x:v>50</x:v>
      </x:c>
      <x:c r="L54" s="36" t="n">
        <x:v>50</x:v>
      </x:c>
      <x:c r="M54" s="36" t="n">
        <x:v>46</x:v>
      </x:c>
    </x:row>
    <x:row r="55" ht="15" hidden="0" customHeight="1">
      <x:c r="A55" s="35" t="str">
        <x:v>34</x:v>
      </x:c>
      <x:c r="B55" s="35" t="str">
        <x:v>Urban Boutique Retailer</x:v>
      </x:c>
      <x:c r="C55" s="36" t="n">
        <x:v>1816</x:v>
      </x:c>
      <x:c r="D55" s="36" t="n">
        <x:v>5</x:v>
      </x:c>
      <x:c r="E55" s="37" t="n">
        <x:v>338972.77</x:v>
      </x:c>
      <x:c r="F55" s="37" t="n">
        <x:v>289987.96</x:v>
      </x:c>
      <x:c r="G55" s="37" t="n">
        <x:v>48984.81</x:v>
      </x:c>
      <x:c r="H55" s="38" t="n">
        <x:v>0.14451</x:v>
      </x:c>
      <x:c r="I55" s="38" t="n">
        <x:v>0.000468</x:v>
      </x:c>
      <x:c r="J55" s="38" t="n">
        <x:v>0.00031800000000000003</x:v>
      </x:c>
      <x:c r="K55" s="36" t="n">
        <x:v>51</x:v>
      </x:c>
      <x:c r="L55" s="36" t="n">
        <x:v>57</x:v>
      </x:c>
      <x:c r="M55" s="36" t="n">
        <x:v>64</x:v>
      </x:c>
    </x:row>
    <x:row r="56" ht="15" hidden="0" customHeight="1">
      <x:c r="A56" s="35" t="str">
        <x:v>51</x:v>
      </x:c>
      <x:c r="B56" s="35" t="str">
        <x:v>Franchise Retail Member</x:v>
      </x:c>
      <x:c r="C56" s="36" t="n">
        <x:v>2011</x:v>
      </x:c>
      <x:c r="D56" s="36" t="n">
        <x:v>3</x:v>
      </x:c>
      <x:c r="E56" s="37" t="n">
        <x:v>313946.26</x:v>
      </x:c>
      <x:c r="F56" s="37" t="n">
        <x:v>251132.59</x:v>
      </x:c>
      <x:c r="G56" s="37" t="n">
        <x:v>62813.67</x:v>
      </x:c>
      <x:c r="H56" s="38" t="n">
        <x:v>0.200078</x:v>
      </x:c>
      <x:c r="I56" s="38" t="n">
        <x:v>0.000433</x:v>
      </x:c>
      <x:c r="J56" s="38" t="n">
        <x:v>0.00040800000000000005</x:v>
      </x:c>
      <x:c r="K56" s="36" t="n">
        <x:v>52</x:v>
      </x:c>
      <x:c r="L56" s="36" t="n">
        <x:v>54</x:v>
      </x:c>
      <x:c r="M56" s="36" t="n">
        <x:v>44</x:v>
      </x:c>
    </x:row>
    <x:row r="57" ht="15" hidden="0" customHeight="1">
      <x:c r="A57" s="35" t="str">
        <x:v>99</x:v>
      </x:c>
      <x:c r="B57" s="35" t="str">
        <x:v>Inactive / Closed Accounts</x:v>
      </x:c>
      <x:c r="C57" s="36" t="n">
        <x:v>2795</x:v>
      </x:c>
      <x:c r="D57" s="36" t="n">
        <x:v>10</x:v>
      </x:c>
      <x:c r="E57" s="37" t="n">
        <x:v>312852.08</x:v>
      </x:c>
      <x:c r="F57" s="37" t="n">
        <x:v>241128.84</x:v>
      </x:c>
      <x:c r="G57" s="37" t="n">
        <x:v>71723.24</x:v>
      </x:c>
      <x:c r="H57" s="38" t="n">
        <x:v>0.229256</x:v>
      </x:c>
      <x:c r="I57" s="38" t="n">
        <x:v>0.00043200000000000004</x:v>
      </x:c>
      <x:c r="J57" s="38" t="n">
        <x:v>0.00046600000000000005</x:v>
      </x:c>
      <x:c r="K57" s="36" t="n">
        <x:v>53</x:v>
      </x:c>
      <x:c r="L57" s="36" t="n">
        <x:v>53</x:v>
      </x:c>
      <x:c r="M57" s="36" t="n">
        <x:v>20</x:v>
      </x:c>
    </x:row>
    <x:row r="58" ht="15" hidden="0" customHeight="1">
      <x:c r="A58" s="35" t="str">
        <x:v>47</x:v>
      </x:c>
      <x:c r="B58" s="35" t="str">
        <x:v>Direct-to-Consumer Channel</x:v>
      </x:c>
      <x:c r="C58" s="36" t="n">
        <x:v>3844</x:v>
      </x:c>
      <x:c r="D58" s="36" t="n">
        <x:v>32</x:v>
      </x:c>
      <x:c r="E58" s="37" t="n">
        <x:v>307560.26</x:v>
      </x:c>
      <x:c r="F58" s="37" t="n">
        <x:v>227416.81</x:v>
      </x:c>
      <x:c r="G58" s="37" t="n">
        <x:v>80143.45</x:v>
      </x:c>
      <x:c r="H58" s="38" t="n">
        <x:v>0.260578</x:v>
      </x:c>
      <x:c r="I58" s="38" t="n">
        <x:v>0.00042500000000000003</x:v>
      </x:c>
      <x:c r="J58" s="38" t="n">
        <x:v>0.000521</x:v>
      </x:c>
      <x:c r="K58" s="36" t="n">
        <x:v>54</x:v>
      </x:c>
      <x:c r="L58" s="36" t="n">
        <x:v>51</x:v>
      </x:c>
      <x:c r="M58" s="36" t="n">
        <x:v>6</x:v>
      </x:c>
    </x:row>
    <x:row r="59" ht="15" hidden="0" customHeight="1">
      <x:c r="A59" s="35" t="str">
        <x:v>28</x:v>
      </x:c>
      <x:c r="B59" s="35" t="str">
        <x:v>Corporate Retail Group</x:v>
      </x:c>
      <x:c r="C59" s="36" t="n">
        <x:v>4058</x:v>
      </x:c>
      <x:c r="D59" s="36" t="n">
        <x:v>29</x:v>
      </x:c>
      <x:c r="E59" s="37" t="n">
        <x:v>281526.08</x:v>
      </x:c>
      <x:c r="F59" s="37" t="n">
        <x:v>219685.05</x:v>
      </x:c>
      <x:c r="G59" s="37" t="n">
        <x:v>61841.03</x:v>
      </x:c>
      <x:c r="H59" s="38" t="n">
        <x:v>0.219664</x:v>
      </x:c>
      <x:c r="I59" s="38" t="n">
        <x:v>0.00038899999999999997</x:v>
      </x:c>
      <x:c r="J59" s="38" t="n">
        <x:v>0.000402</x:v>
      </x:c>
      <x:c r="K59" s="36" t="n">
        <x:v>55</x:v>
      </x:c>
      <x:c r="L59" s="36" t="n">
        <x:v>55</x:v>
      </x:c>
      <x:c r="M59" s="36" t="n">
        <x:v>29</x:v>
      </x:c>
    </x:row>
    <x:row r="60" ht="15" hidden="0" customHeight="1">
      <x:c r="A60" s="35" t="str">
        <x:v>62</x:v>
      </x:c>
      <x:c r="B60" s="35" t="str">
        <x:v>Convenience Retail Group</x:v>
      </x:c>
      <x:c r="C60" s="36" t="n">
        <x:v>2922</x:v>
      </x:c>
      <x:c r="D60" s="36" t="n">
        <x:v>5</x:v>
      </x:c>
      <x:c r="E60" s="37" t="n">
        <x:v>275677.68</x:v>
      </x:c>
      <x:c r="F60" s="37" t="n">
        <x:v>198572.24</x:v>
      </x:c>
      <x:c r="G60" s="37" t="n">
        <x:v>77105.45</x:v>
      </x:c>
      <x:c r="H60" s="38" t="n">
        <x:v>0.279694</x:v>
      </x:c>
      <x:c r="I60" s="38" t="n">
        <x:v>0.00038100000000000005</x:v>
      </x:c>
      <x:c r="J60" s="38" t="n">
        <x:v>0.000501</x:v>
      </x:c>
      <x:c r="K60" s="36" t="n">
        <x:v>56</x:v>
      </x:c>
      <x:c r="L60" s="36" t="n">
        <x:v>52</x:v>
      </x:c>
      <x:c r="M60" s="36" t="n">
        <x:v>3</x:v>
      </x:c>
    </x:row>
    <x:row r="61" ht="15" hidden="0" customHeight="1">
      <x:c r="A61" s="35" t="str">
        <x:v>57</x:v>
      </x:c>
      <x:c r="B61" s="35" t="str">
        <x:v>National Retail Affiliate - Secondary</x:v>
      </x:c>
      <x:c r="C61" s="36" t="n">
        <x:v>1650</x:v>
      </x:c>
      <x:c r="D61" s="36" t="n">
        <x:v>4</x:v>
      </x:c>
      <x:c r="E61" s="37" t="n">
        <x:v>250449.99</x:v>
      </x:c>
      <x:c r="F61" s="37" t="n">
        <x:v>193627.59</x:v>
      </x:c>
      <x:c r="G61" s="37" t="n">
        <x:v>56822.39</x:v>
      </x:c>
      <x:c r="H61" s="38" t="n">
        <x:v>0.226881</x:v>
      </x:c>
      <x:c r="I61" s="38" t="n">
        <x:v>0.000346</x:v>
      </x:c>
      <x:c r="J61" s="38" t="n">
        <x:v>0.000369</x:v>
      </x:c>
      <x:c r="K61" s="36" t="n">
        <x:v>57</x:v>
      </x:c>
      <x:c r="L61" s="36" t="n">
        <x:v>56</x:v>
      </x:c>
      <x:c r="M61" s="36" t="n">
        <x:v>22</x:v>
      </x:c>
    </x:row>
    <x:row r="62" ht="15" hidden="0" customHeight="1">
      <x:c r="A62" s="35" t="str">
        <x:v>12</x:v>
      </x:c>
      <x:c r="B62" s="35" t="str">
        <x:v>High-Volume Distribution Partner</x:v>
      </x:c>
      <x:c r="C62" s="36" t="n">
        <x:v>115</x:v>
      </x:c>
      <x:c r="D62" s="36" t="n">
        <x:v>2</x:v>
      </x:c>
      <x:c r="E62" s="37" t="n">
        <x:v>191448.08</x:v>
      </x:c>
      <x:c r="F62" s="37" t="n">
        <x:v>152878.86</x:v>
      </x:c>
      <x:c r="G62" s="37" t="n">
        <x:v>38569.22</x:v>
      </x:c>
      <x:c r="H62" s="38" t="n">
        <x:v>0.20146</x:v>
      </x:c>
      <x:c r="I62" s="38" t="n">
        <x:v>0.000264</x:v>
      </x:c>
      <x:c r="J62" s="38" t="n">
        <x:v>0.00025100000000000003</x:v>
      </x:c>
      <x:c r="K62" s="36" t="n">
        <x:v>58</x:v>
      </x:c>
      <x:c r="L62" s="36" t="n">
        <x:v>59</x:v>
      </x:c>
      <x:c r="M62" s="36" t="n">
        <x:v>43</x:v>
      </x:c>
    </x:row>
    <x:row r="63" ht="15" hidden="0" customHeight="1">
      <x:c r="A63" s="35" t="str">
        <x:v>70</x:v>
      </x:c>
      <x:c r="B63" s="35" t="str">
        <x:v>Miscellaneous Trade Accounts</x:v>
      </x:c>
      <x:c r="C63" s="36" t="n">
        <x:v>745</x:v>
      </x:c>
      <x:c r="D63" s="36" t="n">
        <x:v>1</x:v>
      </x:c>
      <x:c r="E63" s="37" t="n">
        <x:v>154905.67</x:v>
      </x:c>
      <x:c r="F63" s="37" t="n">
        <x:v>127400.7</x:v>
      </x:c>
      <x:c r="G63" s="37" t="n">
        <x:v>27504.97</x:v>
      </x:c>
      <x:c r="H63" s="38" t="n">
        <x:v>0.177559</x:v>
      </x:c>
      <x:c r="I63" s="38" t="n">
        <x:v>0.000214</x:v>
      </x:c>
      <x:c r="J63" s="38" t="n">
        <x:v>0.000179</x:v>
      </x:c>
      <x:c r="K63" s="36" t="n">
        <x:v>59</x:v>
      </x:c>
      <x:c r="L63" s="36" t="n">
        <x:v>60</x:v>
      </x:c>
      <x:c r="M63" s="36" t="n">
        <x:v>51</x:v>
      </x:c>
    </x:row>
    <x:row r="64" ht="15" hidden="0" customHeight="1">
      <x:c r="A64" s="35" t="str">
        <x:v>58</x:v>
      </x:c>
      <x:c r="B64" s="35" t="str">
        <x:v>Specialty Distribution Partner</x:v>
      </x:c>
      <x:c r="C64" s="36" t="n">
        <x:v>1609</x:v>
      </x:c>
      <x:c r="D64" s="36" t="n">
        <x:v>1</x:v>
      </x:c>
      <x:c r="E64" s="37" t="n">
        <x:v>142503.71</x:v>
      </x:c>
      <x:c r="F64" s="37" t="n">
        <x:v>101135.89</x:v>
      </x:c>
      <x:c r="G64" s="37" t="n">
        <x:v>41367.82</x:v>
      </x:c>
      <x:c r="H64" s="38" t="n">
        <x:v>0.29029299999999997</x:v>
      </x:c>
      <x:c r="I64" s="38" t="n">
        <x:v>0.000197</x:v>
      </x:c>
      <x:c r="J64" s="38" t="n">
        <x:v>0.000269</x:v>
      </x:c>
      <x:c r="K64" s="36" t="n">
        <x:v>60</x:v>
      </x:c>
      <x:c r="L64" s="36" t="n">
        <x:v>58</x:v>
      </x:c>
      <x:c r="M64" s="36" t="n">
        <x:v>2</x:v>
      </x:c>
    </x:row>
    <x:row r="65" ht="15" hidden="0" customHeight="1">
      <x:c r="A65" s="35" t="str">
        <x:v>1</x:v>
      </x:c>
      <x:c r="B65" s="35" t="str">
        <x:v>Unassigned</x:v>
      </x:c>
      <x:c r="C65" s="36" t="n">
        <x:v>602</x:v>
      </x:c>
      <x:c r="D65" s="36" t="n">
        <x:v>16</x:v>
      </x:c>
      <x:c r="E65" s="37" t="n">
        <x:v>59751.37</x:v>
      </x:c>
      <x:c r="F65" s="37" t="n">
        <x:v>44998.5</x:v>
      </x:c>
      <x:c r="G65" s="37" t="n">
        <x:v>14752.86</x:v>
      </x:c>
      <x:c r="H65" s="38" t="n">
        <x:v>0.246904</x:v>
      </x:c>
      <x:c r="I65" s="38" t="n">
        <x:v>0.000082</x:v>
      </x:c>
      <x:c r="J65" s="38" t="n">
        <x:v>0.00009599999999999999</x:v>
      </x:c>
      <x:c r="K65" s="36" t="n">
        <x:v>61</x:v>
      </x:c>
      <x:c r="L65" s="36" t="n">
        <x:v>61</x:v>
      </x:c>
      <x:c r="M65" s="36" t="n">
        <x:v>9</x:v>
      </x:c>
    </x:row>
    <x:row r="66" ht="15" hidden="0" customHeight="1">
      <x:c r="A66" s="35" t="str">
        <x:v>67</x:v>
      </x:c>
      <x:c r="B66" s="35" t="str">
        <x:v>Midwest Specialty Operator</x:v>
      </x:c>
      <x:c r="C66" s="36" t="n">
        <x:v>161</x:v>
      </x:c>
      <x:c r="D66" s="36" t="n">
        <x:v>1</x:v>
      </x:c>
      <x:c r="E66" s="37" t="n">
        <x:v>30097.27</x:v>
      </x:c>
      <x:c r="F66" s="37" t="n">
        <x:v>23858.83</x:v>
      </x:c>
      <x:c r="G66" s="37" t="n">
        <x:v>6238.43</x:v>
      </x:c>
      <x:c r="H66" s="38" t="n">
        <x:v>0.207276</x:v>
      </x:c>
      <x:c r="I66" s="38" t="n">
        <x:v>0.000042</x:v>
      </x:c>
      <x:c r="J66" s="38" t="n">
        <x:v>0.000041</x:v>
      </x:c>
      <x:c r="K66" s="36" t="n">
        <x:v>62</x:v>
      </x:c>
      <x:c r="L66" s="36" t="n">
        <x:v>63</x:v>
      </x:c>
      <x:c r="M66" s="36" t="n">
        <x:v>36</x:v>
      </x:c>
    </x:row>
    <x:row r="67" ht="15" hidden="0" customHeight="1">
      <x:c r="A67" s="35" t="str">
        <x:v>66</x:v>
      </x:c>
      <x:c r="B67" s="35" t="str">
        <x:v>Independent Neighborhood Retailer</x:v>
      </x:c>
      <x:c r="C67" s="36" t="n">
        <x:v>162</x:v>
      </x:c>
      <x:c r="D67" s="36" t="n">
        <x:v>4</x:v>
      </x:c>
      <x:c r="E67" s="37" t="n">
        <x:v>23245.28</x:v>
      </x:c>
      <x:c r="F67" s="37" t="n">
        <x:v>16374.96</x:v>
      </x:c>
      <x:c r="G67" s="37" t="n">
        <x:v>6870.32</x:v>
      </x:c>
      <x:c r="H67" s="38" t="n">
        <x:v>0.295558</x:v>
      </x:c>
      <x:c r="I67" s="38" t="n">
        <x:v>0.000032</x:v>
      </x:c>
      <x:c r="J67" s="38" t="n">
        <x:v>0.000044999999999999996</x:v>
      </x:c>
      <x:c r="K67" s="36" t="n">
        <x:v>63</x:v>
      </x:c>
      <x:c r="L67" s="36" t="n">
        <x:v>62</x:v>
      </x:c>
      <x:c r="M67" s="36" t="n">
        <x:v>1</x:v>
      </x:c>
    </x:row>
    <x:row r="68" ht="15" hidden="0" customHeight="1">
      <x:c r="A68" s="35" t="str">
        <x:v>10</x:v>
      </x:c>
      <x:c r="B68" s="35" t="str">
        <x:v>Unassigned - Legacy</x:v>
      </x:c>
      <x:c r="C68" s="36" t="n">
        <x:v>74</x:v>
      </x:c>
      <x:c r="D68" s="36" t="n">
        <x:v>1</x:v>
      </x:c>
      <x:c r="E68" s="37" t="n">
        <x:v>640.54</x:v>
      </x:c>
      <x:c r="F68" s="37" t="n">
        <x:v>472.01</x:v>
      </x:c>
      <x:c r="G68" s="37" t="n">
        <x:v>168.53</x:v>
      </x:c>
      <x:c r="H68" s="38" t="n">
        <x:v>0.263112</x:v>
      </x:c>
      <x:c r="I68" s="38" t="n">
        <x:v>0.000001</x:v>
      </x:c>
      <x:c r="J68" s="38" t="n">
        <x:v>0.000001</x:v>
      </x:c>
      <x:c r="K68" s="36" t="n">
        <x:v>64</x:v>
      </x:c>
      <x:c r="L68" s="36" t="n">
        <x:v>64</x:v>
      </x:c>
      <x:c r="M68" s="36" t="n">
        <x:v>5</x:v>
      </x:c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9c13abd3447d43a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6.25" hidden="0" customWidth="1"/>
    <x:col min="3" max="3" width="13.75" hidden="0" customWidth="1"/>
    <x:col min="4" max="4" width="12" hidden="0" customWidth="1"/>
    <x:col min="5" max="5" width="14.880000114440918" hidden="0" customWidth="1"/>
    <x:col min="6" max="6" width="16.1299991607666" hidden="0" customWidth="1"/>
    <x:col min="7" max="7" width="20.3799991607666" hidden="0" customWidth="1"/>
    <x:col min="8" max="8" width="21.1299991607666" hidden="0" customWidth="1"/>
    <x:col min="9" max="9" width="13.880000114440918" hidden="0" customWidth="1"/>
    <x:col min="12" max="12" width="23" hidden="0" customWidth="1"/>
    <x:col min="13" max="13" width="15" hidden="0" customWidth="1"/>
  </x:cols>
  <x:sheetData>
    <x:row r="1" ht="32" customHeight="1">
      <x:c r="A1" s="3" t="str">
        <x:v>Revenue Concentration</x:v>
      </x:c>
    </x:row>
    <x:row r="2" ht="24" customHeight="1">
      <x:c r="A2" s="6" t="str">
        <x:v>Summary metrics and top 100 anonymized customers by net recognized revenue</x:v>
      </x:c>
    </x:row>
    <x:row r="4" ht="15" hidden="0" customHeight="1">
      <x:c r="A4" s="34" t="str">
        <x:v>Customer Number</x:v>
      </x:c>
      <x:c r="B4" s="34" t="str">
        <x:v>Transaction Rows</x:v>
      </x:c>
      <x:c r="C4" s="34" t="str">
        <x:v>Total Revenue</x:v>
      </x:c>
      <x:c r="D4" s="34" t="str">
        <x:v>Gross Profit</x:v>
      </x:c>
      <x:c r="E4" s="34" t="str">
        <x:v>Gross Margin %</x:v>
      </x:c>
      <x:c r="F4" s="34" t="str">
        <x:v>Revenue Share %</x:v>
      </x:c>
      <x:c r="G4" s="34" t="str">
        <x:v>Cumulative Revenue %</x:v>
      </x:c>
      <x:c r="H4" s="34" t="str">
        <x:v>Cumulative Customer %</x:v>
      </x:c>
      <x:c r="I4" s="34" t="str">
        <x:v>Revenue Rank</x:v>
      </x:c>
      <x:c r="L4" s="42" t="str">
        <x:v>Concentration Metric</x:v>
      </x:c>
      <x:c r="M4" s="42" t="str">
        <x:v>Value</x:v>
      </x:c>
    </x:row>
    <x:row r="5" ht="15" hidden="0" customHeight="1">
      <x:c r="A5" s="35" t="str">
        <x:v>CUSTOMER_0001</x:v>
      </x:c>
      <x:c r="B5" s="36" t="n">
        <x:v>4028</x:v>
      </x:c>
      <x:c r="C5" s="37" t="n">
        <x:v>8189595.78</x:v>
      </x:c>
      <x:c r="D5" s="37" t="n">
        <x:v>1057286.88</x:v>
      </x:c>
      <x:c r="E5" s="38" t="n">
        <x:v>0.129101</x:v>
      </x:c>
      <x:c r="F5" s="38" t="n">
        <x:v>0.01130499</x:v>
      </x:c>
      <x:c r="G5" s="38" t="n">
        <x:v>0.01130499</x:v>
      </x:c>
      <x:c r="H5" s="38" t="n">
        <x:v>0.0003096</x:v>
      </x:c>
      <x:c r="I5" s="36" t="n">
        <x:v>1</x:v>
      </x:c>
      <x:c r="L5" s="43" t="str">
        <x:v>Top 1 customer</x:v>
      </x:c>
      <x:c r="M5" s="11" t="n">
        <x:v>0.011305</x:v>
      </x:c>
    </x:row>
    <x:row r="6" ht="15" hidden="0" customHeight="1">
      <x:c r="A6" s="35" t="str">
        <x:v>CUSTOMER_0002</x:v>
      </x:c>
      <x:c r="B6" s="36" t="n">
        <x:v>10079</x:v>
      </x:c>
      <x:c r="C6" s="37" t="n">
        <x:v>7275125.35</x:v>
      </x:c>
      <x:c r="D6" s="37" t="n">
        <x:v>1108627.12</x:v>
      </x:c>
      <x:c r="E6" s="38" t="n">
        <x:v>0.152386</x:v>
      </x:c>
      <x:c r="F6" s="38" t="n">
        <x:v>0.01004264</x:v>
      </x:c>
      <x:c r="G6" s="38" t="n">
        <x:v>0.02134763</x:v>
      </x:c>
      <x:c r="H6" s="38" t="n">
        <x:v>0.0006192</x:v>
      </x:c>
      <x:c r="I6" s="36" t="n">
        <x:v>2</x:v>
      </x:c>
      <x:c r="L6" s="43" t="str">
        <x:v>Top 10 customers</x:v>
      </x:c>
      <x:c r="M6" s="11" t="n">
        <x:v>0.070866</x:v>
      </x:c>
    </x:row>
    <x:row r="7" ht="15" hidden="0" customHeight="1">
      <x:c r="A7" s="35" t="str">
        <x:v>CUSTOMER_0003</x:v>
      </x:c>
      <x:c r="B7" s="36" t="n">
        <x:v>30948</x:v>
      </x:c>
      <x:c r="C7" s="37" t="n">
        <x:v>6026325.46</x:v>
      </x:c>
      <x:c r="D7" s="37" t="n">
        <x:v>1145558.48</x:v>
      </x:c>
      <x:c r="E7" s="38" t="n">
        <x:v>0.190092</x:v>
      </x:c>
      <x:c r="F7" s="38" t="n">
        <x:v>0.00831879</x:v>
      </x:c>
      <x:c r="G7" s="38" t="n">
        <x:v>0.02966642</x:v>
      </x:c>
      <x:c r="H7" s="38" t="n">
        <x:v>0.0009287900000000001</x:v>
      </x:c>
      <x:c r="I7" s="36" t="n">
        <x:v>3</x:v>
      </x:c>
      <x:c r="L7" s="43" t="str">
        <x:v>Top 100 customers</x:v>
      </x:c>
      <x:c r="M7" s="11" t="n">
        <x:v>0.334092</x:v>
      </x:c>
    </x:row>
    <x:row r="8" ht="15" hidden="0" customHeight="1">
      <x:c r="A8" s="35" t="str">
        <x:v>CUSTOMER_0004</x:v>
      </x:c>
      <x:c r="B8" s="36" t="n">
        <x:v>10527</x:v>
      </x:c>
      <x:c r="C8" s="37" t="n">
        <x:v>4947874.76</x:v>
      </x:c>
      <x:c r="D8" s="37" t="n">
        <x:v>1045255.35</x:v>
      </x:c>
      <x:c r="E8" s="38" t="n">
        <x:v>0.211253</x:v>
      </x:c>
      <x:c r="F8" s="38" t="n">
        <x:v>0.00683009</x:v>
      </x:c>
      <x:c r="G8" s="38" t="n">
        <x:v>0.03649651</x:v>
      </x:c>
      <x:c r="H8" s="38" t="n">
        <x:v>0.00123839</x:v>
      </x:c>
      <x:c r="I8" s="36" t="n">
        <x:v>4</x:v>
      </x:c>
      <x:c r="L8" s="43" t="str">
        <x:v>Customers to 50%</x:v>
      </x:c>
      <x:c r="M8" s="10" t="n">
        <x:v>205</x:v>
      </x:c>
    </x:row>
    <x:row r="9" ht="15" hidden="0" customHeight="1">
      <x:c r="A9" s="35" t="str">
        <x:v>CUSTOMER_0005</x:v>
      </x:c>
      <x:c r="B9" s="36" t="n">
        <x:v>1982</x:v>
      </x:c>
      <x:c r="C9" s="37" t="n">
        <x:v>4799967.06</x:v>
      </x:c>
      <x:c r="D9" s="37" t="n">
        <x:v>674170.96</x:v>
      </x:c>
      <x:c r="E9" s="38" t="n">
        <x:v>0.140453</x:v>
      </x:c>
      <x:c r="F9" s="38" t="n">
        <x:v>0.0066259100000000005</x:v>
      </x:c>
      <x:c r="G9" s="38" t="n">
        <x:v>0.04312242</x:v>
      </x:c>
      <x:c r="H9" s="38" t="n">
        <x:v>0.00154799</x:v>
      </x:c>
      <x:c r="I9" s="36" t="n">
        <x:v>5</x:v>
      </x:c>
      <x:c r="L9" s="43" t="str">
        <x:v>Customers to 80%</x:v>
      </x:c>
      <x:c r="M9" s="10" t="n">
        <x:v>599</x:v>
      </x:c>
    </x:row>
    <x:row r="10" ht="15" hidden="0" customHeight="1">
      <x:c r="A10" s="35" t="str">
        <x:v>CUSTOMER_0006</x:v>
      </x:c>
      <x:c r="B10" s="36" t="n">
        <x:v>3418</x:v>
      </x:c>
      <x:c r="C10" s="37" t="n">
        <x:v>4698216.88</x:v>
      </x:c>
      <x:c r="D10" s="37" t="n">
        <x:v>842268</x:v>
      </x:c>
      <x:c r="E10" s="38" t="n">
        <x:v>0.179274</x:v>
      </x:c>
      <x:c r="F10" s="38" t="n">
        <x:v>0.006485459999999999</x:v>
      </x:c>
      <x:c r="G10" s="38" t="n">
        <x:v>0.04960788</x:v>
      </x:c>
      <x:c r="H10" s="38" t="n">
        <x:v>0.0018575900000000001</x:v>
      </x:c>
      <x:c r="I10" s="36" t="n">
        <x:v>6</x:v>
      </x:c>
      <x:c r="L10" s="43" t="str">
        <x:v>Customers to 90%</x:v>
      </x:c>
      <x:c r="M10" s="10" t="n">
        <x:v>927</x:v>
      </x:c>
    </x:row>
    <x:row r="11" ht="15" hidden="0" customHeight="1">
      <x:c r="A11" s="35" t="str">
        <x:v>CUSTOMER_0007</x:v>
      </x:c>
      <x:c r="B11" s="36" t="n">
        <x:v>26047</x:v>
      </x:c>
      <x:c r="C11" s="37" t="n">
        <x:v>3950658.78</x:v>
      </x:c>
      <x:c r="D11" s="37" t="n">
        <x:v>773265.67</x:v>
      </x:c>
      <x:c r="E11" s="38" t="n">
        <x:v>0.195731</x:v>
      </x:c>
      <x:c r="F11" s="38" t="n">
        <x:v>0.00545352</x:v>
      </x:c>
      <x:c r="G11" s="38" t="n">
        <x:v>0.055061410000000005</x:v>
      </x:c>
      <x:c r="H11" s="38" t="n">
        <x:v>0.00216718</x:v>
      </x:c>
      <x:c r="I11" s="36" t="n">
        <x:v>7</x:v>
      </x:c>
      <x:c r="L11" s="43" t="str">
        <x:v>Top segment</x:v>
      </x:c>
      <x:c r="M11" s="11" t="n">
        <x:v>0.4875</x:v>
      </x:c>
    </x:row>
    <x:row r="12" ht="15" hidden="0" customHeight="1">
      <x:c r="A12" s="35" t="str">
        <x:v>CUSTOMER_0008</x:v>
      </x:c>
      <x:c r="B12" s="36" t="n">
        <x:v>8677</x:v>
      </x:c>
      <x:c r="C12" s="37" t="n">
        <x:v>3877837.97</x:v>
      </x:c>
      <x:c r="D12" s="37" t="n">
        <x:v>841133.16</x:v>
      </x:c>
      <x:c r="E12" s="38" t="n">
        <x:v>0.216908</x:v>
      </x:c>
      <x:c r="F12" s="38" t="n">
        <x:v>0.005353</x:v>
      </x:c>
      <x:c r="G12" s="38" t="n">
        <x:v>0.06041441</x:v>
      </x:c>
      <x:c r="H12" s="38" t="n">
        <x:v>0.00247678</x:v>
      </x:c>
      <x:c r="I12" s="36" t="n">
        <x:v>8</x:v>
      </x:c>
      <x:c r="L12" s="43" t="str">
        <x:v>Top 3 segments</x:v>
      </x:c>
      <x:c r="M12" s="11" t="n">
        <x:v>0.6881999999999999</x:v>
      </x:c>
    </x:row>
    <x:row r="13" ht="15" hidden="0" customHeight="1">
      <x:c r="A13" s="35" t="str">
        <x:v>CUSTOMER_0009</x:v>
      </x:c>
      <x:c r="B13" s="36" t="n">
        <x:v>9624</x:v>
      </x:c>
      <x:c r="C13" s="37" t="n">
        <x:v>3866893.93</x:v>
      </x:c>
      <x:c r="D13" s="37" t="n">
        <x:v>746065.36</x:v>
      </x:c>
      <x:c r="E13" s="38" t="n">
        <x:v>0.19293700000000003</x:v>
      </x:c>
      <x:c r="F13" s="38" t="n">
        <x:v>0.00533789</x:v>
      </x:c>
      <x:c r="G13" s="38" t="n">
        <x:v>0.0657523</x:v>
      </x:c>
      <x:c r="H13" s="38" t="n">
        <x:v>0.0027863799999999998</x:v>
      </x:c>
      <x:c r="I13" s="36" t="n">
        <x:v>9</x:v>
      </x:c>
      <x:c r="L13" s="43" t="str">
        <x:v>Segment HHI</x:v>
      </x:c>
      <x:c r="M13" s="10" t="n">
        <x:v>2662.59</x:v>
      </x:c>
    </x:row>
    <x:row r="14" ht="15" hidden="0" customHeight="1">
      <x:c r="A14" s="35" t="str">
        <x:v>CUSTOMER_0010</x:v>
      </x:c>
      <x:c r="B14" s="36" t="n">
        <x:v>13360</x:v>
      </x:c>
      <x:c r="C14" s="37" t="n">
        <x:v>3704356.23</x:v>
      </x:c>
      <x:c r="D14" s="37" t="n">
        <x:v>648857.4</x:v>
      </x:c>
      <x:c r="E14" s="38" t="n">
        <x:v>0.175161</x:v>
      </x:c>
      <x:c r="F14" s="38" t="n">
        <x:v>0.00511352</x:v>
      </x:c>
      <x:c r="G14" s="38" t="n">
        <x:v>0.07086582</x:v>
      </x:c>
      <x:c r="H14" s="38" t="n">
        <x:v>0.00309598</x:v>
      </x:c>
      <x:c r="I14" s="36" t="n">
        <x:v>10</x:v>
      </x:c>
    </x:row>
    <x:row r="15" ht="15" hidden="0" customHeight="1">
      <x:c r="A15" s="35" t="str">
        <x:v>CUSTOMER_0011</x:v>
      </x:c>
      <x:c r="B15" s="36" t="n">
        <x:v>699</x:v>
      </x:c>
      <x:c r="C15" s="37" t="n">
        <x:v>3695985.63</x:v>
      </x:c>
      <x:c r="D15" s="37" t="n">
        <x:v>571194.94</x:v>
      </x:c>
      <x:c r="E15" s="38" t="n">
        <x:v>0.154545</x:v>
      </x:c>
      <x:c r="F15" s="38" t="n">
        <x:v>0.00510197</x:v>
      </x:c>
      <x:c r="G15" s="38" t="n">
        <x:v>0.07596779</x:v>
      </x:c>
      <x:c r="H15" s="38" t="n">
        <x:v>0.00340557</x:v>
      </x:c>
      <x:c r="I15" s="36" t="n">
        <x:v>11</x:v>
      </x:c>
    </x:row>
    <x:row r="16" ht="15" hidden="0" customHeight="1">
      <x:c r="A16" s="35" t="str">
        <x:v>CUSTOMER_0012</x:v>
      </x:c>
      <x:c r="B16" s="36" t="n">
        <x:v>20609</x:v>
      </x:c>
      <x:c r="C16" s="37" t="n">
        <x:v>3554142.65</x:v>
      </x:c>
      <x:c r="D16" s="37" t="n">
        <x:v>789122.83</x:v>
      </x:c>
      <x:c r="E16" s="38" t="n">
        <x:v>0.222029</x:v>
      </x:c>
      <x:c r="F16" s="38" t="n">
        <x:v>0.0049061700000000005</x:v>
      </x:c>
      <x:c r="G16" s="38" t="n">
        <x:v>0.08087396</x:v>
      </x:c>
      <x:c r="H16" s="38" t="n">
        <x:v>0.00371517</x:v>
      </x:c>
      <x:c r="I16" s="36" t="n">
        <x:v>12</x:v>
      </x:c>
    </x:row>
    <x:row r="17" ht="15" hidden="0" customHeight="1">
      <x:c r="A17" s="35" t="str">
        <x:v>CUSTOMER_0013</x:v>
      </x:c>
      <x:c r="B17" s="36" t="n">
        <x:v>13245</x:v>
      </x:c>
      <x:c r="C17" s="37" t="n">
        <x:v>3515722.15</x:v>
      </x:c>
      <x:c r="D17" s="37" t="n">
        <x:v>882715.31</x:v>
      </x:c>
      <x:c r="E17" s="38" t="n">
        <x:v>0.251077</x:v>
      </x:c>
      <x:c r="F17" s="38" t="n">
        <x:v>0.00485313</x:v>
      </x:c>
      <x:c r="G17" s="38" t="n">
        <x:v>0.08572708999999999</x:v>
      </x:c>
      <x:c r="H17" s="38" t="n">
        <x:v>0.0040247699999999996</x:v>
      </x:c>
      <x:c r="I17" s="36" t="n">
        <x:v>13</x:v>
      </x:c>
    </x:row>
    <x:row r="18" ht="15" hidden="0" customHeight="1">
      <x:c r="A18" s="35" t="str">
        <x:v>CUSTOMER_0014</x:v>
      </x:c>
      <x:c r="B18" s="36" t="n">
        <x:v>17935</x:v>
      </x:c>
      <x:c r="C18" s="37" t="n">
        <x:v>3481881.69</x:v>
      </x:c>
      <x:c r="D18" s="37" t="n">
        <x:v>746879.59</x:v>
      </x:c>
      <x:c r="E18" s="38" t="n">
        <x:v>0.21450500000000003</x:v>
      </x:c>
      <x:c r="F18" s="38" t="n">
        <x:v>0.0048064200000000005</x:v>
      </x:c>
      <x:c r="G18" s="38" t="n">
        <x:v>0.09053351</x:v>
      </x:c>
      <x:c r="H18" s="38" t="n">
        <x:v>0.004334370000000001</x:v>
      </x:c>
      <x:c r="I18" s="36" t="n">
        <x:v>14</x:v>
      </x:c>
    </x:row>
    <x:row r="19" ht="15" hidden="0" customHeight="1">
      <x:c r="A19" s="35" t="str">
        <x:v>CUSTOMER_0015</x:v>
      </x:c>
      <x:c r="B19" s="36" t="n">
        <x:v>767</x:v>
      </x:c>
      <x:c r="C19" s="37" t="n">
        <x:v>3416962.7</x:v>
      </x:c>
      <x:c r="D19" s="37" t="n">
        <x:v>534241.83</x:v>
      </x:c>
      <x:c r="E19" s="38" t="n">
        <x:v>0.15635</x:v>
      </x:c>
      <x:c r="F19" s="38" t="n">
        <x:v>0.0047168</x:v>
      </x:c>
      <x:c r="G19" s="38" t="n">
        <x:v>0.09525032</x:v>
      </x:c>
      <x:c r="H19" s="38" t="n">
        <x:v>0.00464396</x:v>
      </x:c>
      <x:c r="I19" s="36" t="n">
        <x:v>15</x:v>
      </x:c>
    </x:row>
    <x:row r="20" ht="15" hidden="0" customHeight="1">
      <x:c r="A20" s="35" t="str">
        <x:v>CUSTOMER_0016</x:v>
      </x:c>
      <x:c r="B20" s="36" t="n">
        <x:v>18197</x:v>
      </x:c>
      <x:c r="C20" s="37" t="n">
        <x:v>3311630.42</x:v>
      </x:c>
      <x:c r="D20" s="37" t="n">
        <x:v>680000.67</x:v>
      </x:c>
      <x:c r="E20" s="38" t="n">
        <x:v>0.205337</x:v>
      </x:c>
      <x:c r="F20" s="38" t="n">
        <x:v>0.0045714</x:v>
      </x:c>
      <x:c r="G20" s="38" t="n">
        <x:v>0.09982172</x:v>
      </x:c>
      <x:c r="H20" s="38" t="n">
        <x:v>0.00495356</x:v>
      </x:c>
      <x:c r="I20" s="36" t="n">
        <x:v>16</x:v>
      </x:c>
    </x:row>
    <x:row r="21" ht="15" hidden="0" customHeight="1">
      <x:c r="A21" s="35" t="str">
        <x:v>CUSTOMER_0017</x:v>
      </x:c>
      <x:c r="B21" s="36" t="n">
        <x:v>15796</x:v>
      </x:c>
      <x:c r="C21" s="37" t="n">
        <x:v>3275518.18</x:v>
      </x:c>
      <x:c r="D21" s="37" t="n">
        <x:v>644967.54</x:v>
      </x:c>
      <x:c r="E21" s="38" t="n">
        <x:v>0.196905</x:v>
      </x:c>
      <x:c r="F21" s="38" t="n">
        <x:v>0.00452155</x:v>
      </x:c>
      <x:c r="G21" s="38" t="n">
        <x:v>0.10434327</x:v>
      </x:c>
      <x:c r="H21" s="38" t="n">
        <x:v>0.00526316</x:v>
      </x:c>
      <x:c r="I21" s="36" t="n">
        <x:v>17</x:v>
      </x:c>
    </x:row>
    <x:row r="22" ht="15" hidden="0" customHeight="1">
      <x:c r="A22" s="35" t="str">
        <x:v>CUSTOMER_0018</x:v>
      </x:c>
      <x:c r="B22" s="36" t="n">
        <x:v>17265</x:v>
      </x:c>
      <x:c r="C22" s="37" t="n">
        <x:v>3233103.71</x:v>
      </x:c>
      <x:c r="D22" s="37" t="n">
        <x:v>640698.29</x:v>
      </x:c>
      <x:c r="E22" s="38" t="n">
        <x:v>0.198168</x:v>
      </x:c>
      <x:c r="F22" s="38" t="n">
        <x:v>0.004463</x:v>
      </x:c>
      <x:c r="G22" s="38" t="n">
        <x:v>0.10880627000000001</x:v>
      </x:c>
      <x:c r="H22" s="38" t="n">
        <x:v>0.0055727599999999995</x:v>
      </x:c>
      <x:c r="I22" s="36" t="n">
        <x:v>18</x:v>
      </x:c>
    </x:row>
    <x:row r="23" ht="15" hidden="0" customHeight="1">
      <x:c r="A23" s="35" t="str">
        <x:v>CUSTOMER_0019</x:v>
      </x:c>
      <x:c r="B23" s="36" t="n">
        <x:v>17669</x:v>
      </x:c>
      <x:c r="C23" s="37" t="n">
        <x:v>3216338.34</x:v>
      </x:c>
      <x:c r="D23" s="37" t="n">
        <x:v>768906.01</x:v>
      </x:c>
      <x:c r="E23" s="38" t="n">
        <x:v>0.23906300000000003</x:v>
      </x:c>
      <x:c r="F23" s="38" t="n">
        <x:v>0.00443986</x:v>
      </x:c>
      <x:c r="G23" s="38" t="n">
        <x:v>0.11324614000000001</x:v>
      </x:c>
      <x:c r="H23" s="38" t="n">
        <x:v>0.00588235</x:v>
      </x:c>
      <x:c r="I23" s="36" t="n">
        <x:v>19</x:v>
      </x:c>
    </x:row>
    <x:row r="24" ht="15" hidden="0" customHeight="1">
      <x:c r="A24" s="35" t="str">
        <x:v>CUSTOMER_0020</x:v>
      </x:c>
      <x:c r="B24" s="36" t="n">
        <x:v>6405</x:v>
      </x:c>
      <x:c r="C24" s="37" t="n">
        <x:v>3207302.36</x:v>
      </x:c>
      <x:c r="D24" s="37" t="n">
        <x:v>449038.26</x:v>
      </x:c>
      <x:c r="E24" s="38" t="n">
        <x:v>0.14000500000000002</x:v>
      </x:c>
      <x:c r="F24" s="38" t="n">
        <x:v>0.00442739</x:v>
      </x:c>
      <x:c r="G24" s="38" t="n">
        <x:v>0.11767352</x:v>
      </x:c>
      <x:c r="H24" s="38" t="n">
        <x:v>0.006191950000000001</x:v>
      </x:c>
      <x:c r="I24" s="36" t="n">
        <x:v>20</x:v>
      </x:c>
    </x:row>
    <x:row r="25" ht="15" hidden="0" customHeight="1">
      <x:c r="A25" s="35" t="str">
        <x:v>CUSTOMER_0021</x:v>
      </x:c>
      <x:c r="B25" s="36" t="n">
        <x:v>8988</x:v>
      </x:c>
      <x:c r="C25" s="37" t="n">
        <x:v>3005232.5</x:v>
      </x:c>
      <x:c r="D25" s="37" t="n">
        <x:v>610761.23</x:v>
      </x:c>
      <x:c r="E25" s="38" t="n">
        <x:v>0.203233</x:v>
      </x:c>
      <x:c r="F25" s="38" t="n">
        <x:v>0.004148450000000001</x:v>
      </x:c>
      <x:c r="G25" s="38" t="n">
        <x:v>0.12182197</x:v>
      </x:c>
      <x:c r="H25" s="38" t="n">
        <x:v>0.00650155</x:v>
      </x:c>
      <x:c r="I25" s="36" t="n">
        <x:v>21</x:v>
      </x:c>
    </x:row>
    <x:row r="26" ht="15" hidden="0" customHeight="1">
      <x:c r="A26" s="35" t="str">
        <x:v>CUSTOMER_0022</x:v>
      </x:c>
      <x:c r="B26" s="36" t="n">
        <x:v>12670</x:v>
      </x:c>
      <x:c r="C26" s="37" t="n">
        <x:v>2895224.75</x:v>
      </x:c>
      <x:c r="D26" s="37" t="n">
        <x:v>670254.11</x:v>
      </x:c>
      <x:c r="E26" s="38" t="n">
        <x:v>0.23150300000000001</x:v>
      </x:c>
      <x:c r="F26" s="38" t="n">
        <x:v>0.0039965899999999995</x:v>
      </x:c>
      <x:c r="G26" s="38" t="n">
        <x:v>0.12581856</x:v>
      </x:c>
      <x:c r="H26" s="38" t="n">
        <x:v>0.00681115</x:v>
      </x:c>
      <x:c r="I26" s="36" t="n">
        <x:v>22</x:v>
      </x:c>
    </x:row>
    <x:row r="27" ht="15" hidden="0" customHeight="1">
      <x:c r="A27" s="35" t="str">
        <x:v>CUSTOMER_0023</x:v>
      </x:c>
      <x:c r="B27" s="36" t="n">
        <x:v>864</x:v>
      </x:c>
      <x:c r="C27" s="37" t="n">
        <x:v>2815644.7</x:v>
      </x:c>
      <x:c r="D27" s="37" t="n">
        <x:v>337620.63</x:v>
      </x:c>
      <x:c r="E27" s="38" t="n">
        <x:v>0.119909</x:v>
      </x:c>
      <x:c r="F27" s="38" t="n">
        <x:v>0.00388674</x:v>
      </x:c>
      <x:c r="G27" s="38" t="n">
        <x:v>0.1297053</x:v>
      </x:c>
      <x:c r="H27" s="38" t="n">
        <x:v>0.0071207399999999995</x:v>
      </x:c>
      <x:c r="I27" s="36" t="n">
        <x:v>23</x:v>
      </x:c>
    </x:row>
    <x:row r="28" ht="15" hidden="0" customHeight="1">
      <x:c r="A28" s="35" t="str">
        <x:v>CUSTOMER_0024</x:v>
      </x:c>
      <x:c r="B28" s="36" t="n">
        <x:v>16920</x:v>
      </x:c>
      <x:c r="C28" s="37" t="n">
        <x:v>2765121.21</x:v>
      </x:c>
      <x:c r="D28" s="37" t="n">
        <x:v>511235.57</x:v>
      </x:c>
      <x:c r="E28" s="38" t="n">
        <x:v>0.18488700000000002</x:v>
      </x:c>
      <x:c r="F28" s="38" t="n">
        <x:v>0.0038169999999999996</x:v>
      </x:c>
      <x:c r="G28" s="38" t="n">
        <x:v>0.1335223</x:v>
      </x:c>
      <x:c r="H28" s="38" t="n">
        <x:v>0.00743034</x:v>
      </x:c>
      <x:c r="I28" s="36" t="n">
        <x:v>24</x:v>
      </x:c>
    </x:row>
    <x:row r="29" ht="15" hidden="0" customHeight="1">
      <x:c r="A29" s="35" t="str">
        <x:v>CUSTOMER_0025</x:v>
      </x:c>
      <x:c r="B29" s="36" t="n">
        <x:v>17967</x:v>
      </x:c>
      <x:c r="C29" s="37" t="n">
        <x:v>2688350.65</x:v>
      </x:c>
      <x:c r="D29" s="37" t="n">
        <x:v>619939.14</x:v>
      </x:c>
      <x:c r="E29" s="38" t="n">
        <x:v>0.23060199999999997</x:v>
      </x:c>
      <x:c r="F29" s="38" t="n">
        <x:v>0.0037110199999999998</x:v>
      </x:c>
      <x:c r="G29" s="38" t="n">
        <x:v>0.13723332</x:v>
      </x:c>
      <x:c r="H29" s="38" t="n">
        <x:v>0.00773994</x:v>
      </x:c>
      <x:c r="I29" s="36" t="n">
        <x:v>25</x:v>
      </x:c>
    </x:row>
    <x:row r="30" ht="15" hidden="0" customHeight="1">
      <x:c r="A30" s="35" t="str">
        <x:v>CUSTOMER_0026</x:v>
      </x:c>
      <x:c r="B30" s="36" t="n">
        <x:v>16303</x:v>
      </x:c>
      <x:c r="C30" s="37" t="n">
        <x:v>2665741.97</x:v>
      </x:c>
      <x:c r="D30" s="37" t="n">
        <x:v>553863.21</x:v>
      </x:c>
      <x:c r="E30" s="38" t="n">
        <x:v>0.207771</x:v>
      </x:c>
      <x:c r="F30" s="38" t="n">
        <x:v>0.00367981</x:v>
      </x:c>
      <x:c r="G30" s="38" t="n">
        <x:v>0.14091313</x:v>
      </x:c>
      <x:c r="H30" s="38" t="n">
        <x:v>0.008049539999999999</x:v>
      </x:c>
      <x:c r="I30" s="36" t="n">
        <x:v>26</x:v>
      </x:c>
    </x:row>
    <x:row r="31" ht="15" hidden="0" customHeight="1">
      <x:c r="A31" s="35" t="str">
        <x:v>CUSTOMER_0027</x:v>
      </x:c>
      <x:c r="B31" s="36" t="n">
        <x:v>9981</x:v>
      </x:c>
      <x:c r="C31" s="37" t="n">
        <x:v>2662087.92</x:v>
      </x:c>
      <x:c r="D31" s="37" t="n">
        <x:v>492266.67</x:v>
      </x:c>
      <x:c r="E31" s="38" t="n">
        <x:v>0.18491800000000003</x:v>
      </x:c>
      <x:c r="F31" s="38" t="n">
        <x:v>0.00367477</x:v>
      </x:c>
      <x:c r="G31" s="38" t="n">
        <x:v>0.1445879</x:v>
      </x:c>
      <x:c r="H31" s="38" t="n">
        <x:v>0.00835913</x:v>
      </x:c>
      <x:c r="I31" s="36" t="n">
        <x:v>27</x:v>
      </x:c>
    </x:row>
    <x:row r="32" ht="15" hidden="0" customHeight="1">
      <x:c r="A32" s="35" t="str">
        <x:v>CUSTOMER_0028</x:v>
      </x:c>
      <x:c r="B32" s="36" t="n">
        <x:v>8963</x:v>
      </x:c>
      <x:c r="C32" s="37" t="n">
        <x:v>2656709.36</x:v>
      </x:c>
      <x:c r="D32" s="37" t="n">
        <x:v>644559.34</x:v>
      </x:c>
      <x:c r="E32" s="38" t="n">
        <x:v>0.24261600000000003</x:v>
      </x:c>
      <x:c r="F32" s="38" t="n">
        <x:v>0.00366734</x:v>
      </x:c>
      <x:c r="G32" s="38" t="n">
        <x:v>0.14825525</x:v>
      </x:c>
      <x:c r="H32" s="38" t="n">
        <x:v>0.00866873</x:v>
      </x:c>
      <x:c r="I32" s="36" t="n">
        <x:v>28</x:v>
      </x:c>
    </x:row>
    <x:row r="33" ht="15" hidden="0" customHeight="1">
      <x:c r="A33" s="35" t="str">
        <x:v>CUSTOMER_0029</x:v>
      </x:c>
      <x:c r="B33" s="36" t="n">
        <x:v>14480</x:v>
      </x:c>
      <x:c r="C33" s="37" t="n">
        <x:v>2532710.13</x:v>
      </x:c>
      <x:c r="D33" s="37" t="n">
        <x:v>531629.75</x:v>
      </x:c>
      <x:c r="E33" s="38" t="n">
        <x:v>0.209905</x:v>
      </x:c>
      <x:c r="F33" s="38" t="n">
        <x:v>0.0034961700000000003</x:v>
      </x:c>
      <x:c r="G33" s="38" t="n">
        <x:v>0.15175142</x:v>
      </x:c>
      <x:c r="H33" s="38" t="n">
        <x:v>0.00897833</x:v>
      </x:c>
      <x:c r="I33" s="36" t="n">
        <x:v>29</x:v>
      </x:c>
    </x:row>
    <x:row r="34" ht="15" hidden="0" customHeight="1">
      <x:c r="A34" s="35" t="str">
        <x:v>CUSTOMER_0030</x:v>
      </x:c>
      <x:c r="B34" s="36" t="n">
        <x:v>16698</x:v>
      </x:c>
      <x:c r="C34" s="37" t="n">
        <x:v>2460565.43</x:v>
      </x:c>
      <x:c r="D34" s="37" t="n">
        <x:v>538659.4</x:v>
      </x:c>
      <x:c r="E34" s="38" t="n">
        <x:v>0.218917</x:v>
      </x:c>
      <x:c r="F34" s="38" t="n">
        <x:v>0.0033965899999999997</x:v>
      </x:c>
      <x:c r="G34" s="38" t="n">
        <x:v>0.15514801</x:v>
      </x:c>
      <x:c r="H34" s="38" t="n">
        <x:v>0.00928793</x:v>
      </x:c>
      <x:c r="I34" s="36" t="n">
        <x:v>30</x:v>
      </x:c>
    </x:row>
    <x:row r="35" ht="15" hidden="0" customHeight="1">
      <x:c r="A35" s="35" t="str">
        <x:v>CUSTOMER_0031</x:v>
      </x:c>
      <x:c r="B35" s="36" t="n">
        <x:v>19163</x:v>
      </x:c>
      <x:c r="C35" s="37" t="n">
        <x:v>2458262.92</x:v>
      </x:c>
      <x:c r="D35" s="37" t="n">
        <x:v>572846.07</x:v>
      </x:c>
      <x:c r="E35" s="38" t="n">
        <x:v>0.23302900000000001</x:v>
      </x:c>
      <x:c r="F35" s="38" t="n">
        <x:v>0.00339341</x:v>
      </x:c>
      <x:c r="G35" s="38" t="n">
        <x:v>0.15854141</x:v>
      </x:c>
      <x:c r="H35" s="38" t="n">
        <x:v>0.00959752</x:v>
      </x:c>
      <x:c r="I35" s="36" t="n">
        <x:v>31</x:v>
      </x:c>
    </x:row>
    <x:row r="36" ht="15" hidden="0" customHeight="1">
      <x:c r="A36" s="35" t="str">
        <x:v>CUSTOMER_0032</x:v>
      </x:c>
      <x:c r="B36" s="36" t="n">
        <x:v>14067</x:v>
      </x:c>
      <x:c r="C36" s="37" t="n">
        <x:v>2429169.21</x:v>
      </x:c>
      <x:c r="D36" s="37" t="n">
        <x:v>473312.35</x:v>
      </x:c>
      <x:c r="E36" s="38" t="n">
        <x:v>0.19484500000000002</x:v>
      </x:c>
      <x:c r="F36" s="38" t="n">
        <x:v>0.00335325</x:v>
      </x:c>
      <x:c r="G36" s="38" t="n">
        <x:v>0.16189466</x:v>
      </x:c>
      <x:c r="H36" s="38" t="n">
        <x:v>0.00990712</x:v>
      </x:c>
      <x:c r="I36" s="36" t="n">
        <x:v>32</x:v>
      </x:c>
    </x:row>
    <x:row r="37" ht="15" hidden="0" customHeight="1">
      <x:c r="A37" s="35" t="str">
        <x:v>CUSTOMER_0033</x:v>
      </x:c>
      <x:c r="B37" s="36" t="n">
        <x:v>12245</x:v>
      </x:c>
      <x:c r="C37" s="37" t="n">
        <x:v>2422705.42</x:v>
      </x:c>
      <x:c r="D37" s="37" t="n">
        <x:v>474514.26</x:v>
      </x:c>
      <x:c r="E37" s="38" t="n">
        <x:v>0.19586099999999998</x:v>
      </x:c>
      <x:c r="F37" s="38" t="n">
        <x:v>0.00334432</x:v>
      </x:c>
      <x:c r="G37" s="38" t="n">
        <x:v>0.16523897999999998</x:v>
      </x:c>
      <x:c r="H37" s="38" t="n">
        <x:v>0.010216719999999999</x:v>
      </x:c>
      <x:c r="I37" s="36" t="n">
        <x:v>33</x:v>
      </x:c>
    </x:row>
    <x:row r="38" ht="15" hidden="0" customHeight="1">
      <x:c r="A38" s="35" t="str">
        <x:v>CUSTOMER_0034</x:v>
      </x:c>
      <x:c r="B38" s="36" t="n">
        <x:v>10361</x:v>
      </x:c>
      <x:c r="C38" s="37" t="n">
        <x:v>2368938.12</x:v>
      </x:c>
      <x:c r="D38" s="37" t="n">
        <x:v>542737.94</x:v>
      </x:c>
      <x:c r="E38" s="38" t="n">
        <x:v>0.22910599999999998</x:v>
      </x:c>
      <x:c r="F38" s="38" t="n">
        <x:v>0.0032701</x:v>
      </x:c>
      <x:c r="G38" s="38" t="n">
        <x:v>0.16850908</x:v>
      </x:c>
      <x:c r="H38" s="38" t="n">
        <x:v>0.01052632</x:v>
      </x:c>
      <x:c r="I38" s="36" t="n">
        <x:v>34</x:v>
      </x:c>
    </x:row>
    <x:row r="39" ht="15" hidden="0" customHeight="1">
      <x:c r="A39" s="35" t="str">
        <x:v>CUSTOMER_0035</x:v>
      </x:c>
      <x:c r="B39" s="36" t="n">
        <x:v>7337</x:v>
      </x:c>
      <x:c r="C39" s="37" t="n">
        <x:v>2363107.4</x:v>
      </x:c>
      <x:c r="D39" s="37" t="n">
        <x:v>434247.56</x:v>
      </x:c>
      <x:c r="E39" s="38" t="n">
        <x:v>0.183761</x:v>
      </x:c>
      <x:c r="F39" s="38" t="n">
        <x:v>0.0032620500000000003</x:v>
      </x:c>
      <x:c r="G39" s="38" t="n">
        <x:v>0.17177114</x:v>
      </x:c>
      <x:c r="H39" s="38" t="n">
        <x:v>0.010835909999999999</x:v>
      </x:c>
      <x:c r="I39" s="36" t="n">
        <x:v>35</x:v>
      </x:c>
    </x:row>
    <x:row r="40" ht="15" hidden="0" customHeight="1">
      <x:c r="A40" s="35" t="str">
        <x:v>CUSTOMER_0036</x:v>
      </x:c>
      <x:c r="B40" s="36" t="n">
        <x:v>15152</x:v>
      </x:c>
      <x:c r="C40" s="37" t="n">
        <x:v>2351622.96</x:v>
      </x:c>
      <x:c r="D40" s="37" t="n">
        <x:v>510637.95</x:v>
      </x:c>
      <x:c r="E40" s="38" t="n">
        <x:v>0.217143</x:v>
      </x:c>
      <x:c r="F40" s="38" t="n">
        <x:v>0.0032462000000000003</x:v>
      </x:c>
      <x:c r="G40" s="38" t="n">
        <x:v>0.17501734</x:v>
      </x:c>
      <x:c r="H40" s="38" t="n">
        <x:v>0.01114551</x:v>
      </x:c>
      <x:c r="I40" s="36" t="n">
        <x:v>36</x:v>
      </x:c>
    </x:row>
    <x:row r="41" ht="15" hidden="0" customHeight="1">
      <x:c r="A41" s="35" t="str">
        <x:v>CUSTOMER_0037</x:v>
      </x:c>
      <x:c r="B41" s="36" t="n">
        <x:v>11017</x:v>
      </x:c>
      <x:c r="C41" s="37" t="n">
        <x:v>2316573.53</x:v>
      </x:c>
      <x:c r="D41" s="37" t="n">
        <x:v>574826.34</x:v>
      </x:c>
      <x:c r="E41" s="38" t="n">
        <x:v>0.24813600000000002</x:v>
      </x:c>
      <x:c r="F41" s="38" t="n">
        <x:v>0.00319782</x:v>
      </x:c>
      <x:c r="G41" s="38" t="n">
        <x:v>0.17821515000000002</x:v>
      </x:c>
      <x:c r="H41" s="38" t="n">
        <x:v>0.01145511</x:v>
      </x:c>
      <x:c r="I41" s="36" t="n">
        <x:v>37</x:v>
      </x:c>
    </x:row>
    <x:row r="42" ht="15" hidden="0" customHeight="1">
      <x:c r="A42" s="35" t="str">
        <x:v>CUSTOMER_0038</x:v>
      </x:c>
      <x:c r="B42" s="36" t="n">
        <x:v>7107</x:v>
      </x:c>
      <x:c r="C42" s="37" t="n">
        <x:v>2291497.07</x:v>
      </x:c>
      <x:c r="D42" s="37" t="n">
        <x:v>432602.82</x:v>
      </x:c>
      <x:c r="E42" s="38" t="n">
        <x:v>0.18878599999999998</x:v>
      </x:c>
      <x:c r="F42" s="38" t="n">
        <x:v>0.0031631999999999997</x:v>
      </x:c>
      <x:c r="G42" s="38" t="n">
        <x:v>0.18137836</x:v>
      </x:c>
      <x:c r="H42" s="38" t="n">
        <x:v>0.011764710000000001</x:v>
      </x:c>
      <x:c r="I42" s="36" t="n">
        <x:v>38</x:v>
      </x:c>
    </x:row>
    <x:row r="43" ht="15" hidden="0" customHeight="1">
      <x:c r="A43" s="35" t="str">
        <x:v>CUSTOMER_0039</x:v>
      </x:c>
      <x:c r="B43" s="36" t="n">
        <x:v>15341</x:v>
      </x:c>
      <x:c r="C43" s="37" t="n">
        <x:v>2289960.8</x:v>
      </x:c>
      <x:c r="D43" s="37" t="n">
        <x:v>455819.69</x:v>
      </x:c>
      <x:c r="E43" s="38" t="n">
        <x:v>0.199051</x:v>
      </x:c>
      <x:c r="F43" s="38" t="n">
        <x:v>0.00316108</x:v>
      </x:c>
      <x:c r="G43" s="38" t="n">
        <x:v>0.18453944</x:v>
      </x:c>
      <x:c r="H43" s="38" t="n">
        <x:v>0.0120743</x:v>
      </x:c>
      <x:c r="I43" s="36" t="n">
        <x:v>39</x:v>
      </x:c>
    </x:row>
    <x:row r="44" ht="15" hidden="0" customHeight="1">
      <x:c r="A44" s="35" t="str">
        <x:v>CUSTOMER_0040</x:v>
      </x:c>
      <x:c r="B44" s="36" t="n">
        <x:v>9871</x:v>
      </x:c>
      <x:c r="C44" s="37" t="n">
        <x:v>2286125.23</x:v>
      </x:c>
      <x:c r="D44" s="37" t="n">
        <x:v>496914.39</x:v>
      </x:c>
      <x:c r="E44" s="38" t="n">
        <x:v>0.217361</x:v>
      </x:c>
      <x:c r="F44" s="38" t="n">
        <x:v>0.00315579</x:v>
      </x:c>
      <x:c r="G44" s="38" t="n">
        <x:v>0.18769522</x:v>
      </x:c>
      <x:c r="H44" s="38" t="n">
        <x:v>0.012383900000000002</x:v>
      </x:c>
      <x:c r="I44" s="36" t="n">
        <x:v>40</x:v>
      </x:c>
    </x:row>
    <x:row r="45" ht="15" hidden="0" customHeight="1">
      <x:c r="A45" s="35" t="str">
        <x:v>CUSTOMER_0041</x:v>
      </x:c>
      <x:c r="B45" s="36" t="n">
        <x:v>13130</x:v>
      </x:c>
      <x:c r="C45" s="37" t="n">
        <x:v>2260487.84</x:v>
      </x:c>
      <x:c r="D45" s="37" t="n">
        <x:v>443865.5</x:v>
      </x:c>
      <x:c r="E45" s="38" t="n">
        <x:v>0.196358</x:v>
      </x:c>
      <x:c r="F45" s="38" t="n">
        <x:v>0.0031203999999999997</x:v>
      </x:c>
      <x:c r="G45" s="38" t="n">
        <x:v>0.19081562000000002</x:v>
      </x:c>
      <x:c r="H45" s="38" t="n">
        <x:v>0.0126935</x:v>
      </x:c>
      <x:c r="I45" s="36" t="n">
        <x:v>41</x:v>
      </x:c>
    </x:row>
    <x:row r="46" ht="15" hidden="0" customHeight="1">
      <x:c r="A46" s="35" t="str">
        <x:v>CUSTOMER_0042</x:v>
      </x:c>
      <x:c r="B46" s="36" t="n">
        <x:v>14944</x:v>
      </x:c>
      <x:c r="C46" s="37" t="n">
        <x:v>2254707.55</x:v>
      </x:c>
      <x:c r="D46" s="37" t="n">
        <x:v>492747.69</x:v>
      </x:c>
      <x:c r="E46" s="38" t="n">
        <x:v>0.218542</x:v>
      </x:c>
      <x:c r="F46" s="38" t="n">
        <x:v>0.0031124200000000003</x:v>
      </x:c>
      <x:c r="G46" s="38" t="n">
        <x:v>0.19392804000000002</x:v>
      </x:c>
      <x:c r="H46" s="38" t="n">
        <x:v>0.0130031</x:v>
      </x:c>
      <x:c r="I46" s="36" t="n">
        <x:v>42</x:v>
      </x:c>
    </x:row>
    <x:row r="47" ht="15" hidden="0" customHeight="1">
      <x:c r="A47" s="35" t="str">
        <x:v>CUSTOMER_0043</x:v>
      </x:c>
      <x:c r="B47" s="36" t="n">
        <x:v>8150</x:v>
      </x:c>
      <x:c r="C47" s="37" t="n">
        <x:v>2244359.81</x:v>
      </x:c>
      <x:c r="D47" s="37" t="n">
        <x:v>551314.94</x:v>
      </x:c>
      <x:c r="E47" s="38" t="n">
        <x:v>0.245645</x:v>
      </x:c>
      <x:c r="F47" s="38" t="n">
        <x:v>0.00309813</x:v>
      </x:c>
      <x:c r="G47" s="38" t="n">
        <x:v>0.19702617</x:v>
      </x:c>
      <x:c r="H47" s="38" t="n">
        <x:v>0.01331269</x:v>
      </x:c>
      <x:c r="I47" s="36" t="n">
        <x:v>43</x:v>
      </x:c>
    </x:row>
    <x:row r="48" ht="15" hidden="0" customHeight="1">
      <x:c r="A48" s="35" t="str">
        <x:v>CUSTOMER_0044</x:v>
      </x:c>
      <x:c r="B48" s="36" t="n">
        <x:v>14723</x:v>
      </x:c>
      <x:c r="C48" s="37" t="n">
        <x:v>2208957.03</x:v>
      </x:c>
      <x:c r="D48" s="37" t="n">
        <x:v>510265.48</x:v>
      </x:c>
      <x:c r="E48" s="38" t="n">
        <x:v>0.23099799999999998</x:v>
      </x:c>
      <x:c r="F48" s="38" t="n">
        <x:v>0.00304926</x:v>
      </x:c>
      <x:c r="G48" s="38" t="n">
        <x:v>0.20007542999999997</x:v>
      </x:c>
      <x:c r="H48" s="38" t="n">
        <x:v>0.013622289999999999</x:v>
      </x:c>
      <x:c r="I48" s="36" t="n">
        <x:v>44</x:v>
      </x:c>
    </x:row>
    <x:row r="49" ht="15" hidden="0" customHeight="1">
      <x:c r="A49" s="35" t="str">
        <x:v>CUSTOMER_0045</x:v>
      </x:c>
      <x:c r="B49" s="36" t="n">
        <x:v>3417</x:v>
      </x:c>
      <x:c r="C49" s="37" t="n">
        <x:v>2202546.31</x:v>
      </x:c>
      <x:c r="D49" s="37" t="n">
        <x:v>175378.48</x:v>
      </x:c>
      <x:c r="E49" s="38" t="n">
        <x:v>0.079625</x:v>
      </x:c>
      <x:c r="F49" s="38" t="n">
        <x:v>0.00304041</x:v>
      </x:c>
      <x:c r="G49" s="38" t="n">
        <x:v>0.20311585000000001</x:v>
      </x:c>
      <x:c r="H49" s="38" t="n">
        <x:v>0.01393189</x:v>
      </x:c>
      <x:c r="I49" s="36" t="n">
        <x:v>45</x:v>
      </x:c>
    </x:row>
    <x:row r="50" ht="15" hidden="0" customHeight="1">
      <x:c r="A50" s="35" t="str">
        <x:v>CUSTOMER_0046</x:v>
      </x:c>
      <x:c r="B50" s="36" t="n">
        <x:v>6749</x:v>
      </x:c>
      <x:c r="C50" s="37" t="n">
        <x:v>2144361.08</x:v>
      </x:c>
      <x:c r="D50" s="37" t="n">
        <x:v>439859.42</x:v>
      </x:c>
      <x:c r="E50" s="38" t="n">
        <x:v>0.205124</x:v>
      </x:c>
      <x:c r="F50" s="38" t="n">
        <x:v>0.0029600900000000003</x:v>
      </x:c>
      <x:c r="G50" s="38" t="n">
        <x:v>0.20607593999999999</x:v>
      </x:c>
      <x:c r="H50" s="38" t="n">
        <x:v>0.01424149</x:v>
      </x:c>
      <x:c r="I50" s="36" t="n">
        <x:v>46</x:v>
      </x:c>
    </x:row>
    <x:row r="51" ht="15" hidden="0" customHeight="1">
      <x:c r="A51" s="35" t="str">
        <x:v>CUSTOMER_0047</x:v>
      </x:c>
      <x:c r="B51" s="36" t="n">
        <x:v>12049</x:v>
      </x:c>
      <x:c r="C51" s="37" t="n">
        <x:v>2118557.92</x:v>
      </x:c>
      <x:c r="D51" s="37" t="n">
        <x:v>483920.15</x:v>
      </x:c>
      <x:c r="E51" s="38" t="n">
        <x:v>0.22841999999999998</x:v>
      </x:c>
      <x:c r="F51" s="38" t="n">
        <x:v>0.0029244799999999997</x:v>
      </x:c>
      <x:c r="G51" s="38" t="n">
        <x:v>0.20900042</x:v>
      </x:c>
      <x:c r="H51" s="38" t="n">
        <x:v>0.014551080000000001</x:v>
      </x:c>
      <x:c r="I51" s="36" t="n">
        <x:v>47</x:v>
      </x:c>
    </x:row>
    <x:row r="52" ht="15" hidden="0" customHeight="1">
      <x:c r="A52" s="35" t="str">
        <x:v>CUSTOMER_0048</x:v>
      </x:c>
      <x:c r="B52" s="36" t="n">
        <x:v>5024</x:v>
      </x:c>
      <x:c r="C52" s="37" t="n">
        <x:v>2103528.72</x:v>
      </x:c>
      <x:c r="D52" s="37" t="n">
        <x:v>582423.62</x:v>
      </x:c>
      <x:c r="E52" s="38" t="n">
        <x:v>0.276879</x:v>
      </x:c>
      <x:c r="F52" s="38" t="n">
        <x:v>0.0029037299999999998</x:v>
      </x:c>
      <x:c r="G52" s="38" t="n">
        <x:v>0.21190415</x:v>
      </x:c>
      <x:c r="H52" s="38" t="n">
        <x:v>0.01486068</x:v>
      </x:c>
      <x:c r="I52" s="36" t="n">
        <x:v>48</x:v>
      </x:c>
    </x:row>
    <x:row r="53" ht="15" hidden="0" customHeight="1">
      <x:c r="A53" s="35" t="str">
        <x:v>CUSTOMER_0049</x:v>
      </x:c>
      <x:c r="B53" s="36" t="n">
        <x:v>15677</x:v>
      </x:c>
      <x:c r="C53" s="37" t="n">
        <x:v>2093054.68</x:v>
      </x:c>
      <x:c r="D53" s="37" t="n">
        <x:v>426216.68</x:v>
      </x:c>
      <x:c r="E53" s="38" t="n">
        <x:v>0.20363399999999998</x:v>
      </x:c>
      <x:c r="F53" s="38" t="n">
        <x:v>0.0028892699999999998</x:v>
      </x:c>
      <x:c r="G53" s="38" t="n">
        <x:v>0.21479341999999998</x:v>
      </x:c>
      <x:c r="H53" s="38" t="n">
        <x:v>0.015170280000000001</x:v>
      </x:c>
      <x:c r="I53" s="36" t="n">
        <x:v>49</x:v>
      </x:c>
    </x:row>
    <x:row r="54" ht="15" hidden="0" customHeight="1">
      <x:c r="A54" s="35" t="str">
        <x:v>CUSTOMER_0050</x:v>
      </x:c>
      <x:c r="B54" s="36" t="n">
        <x:v>11895</x:v>
      </x:c>
      <x:c r="C54" s="37" t="n">
        <x:v>2088274.57</x:v>
      </x:c>
      <x:c r="D54" s="37" t="n">
        <x:v>400286.2</x:v>
      </x:c>
      <x:c r="E54" s="38" t="n">
        <x:v>0.191683</x:v>
      </x:c>
      <x:c r="F54" s="38" t="n">
        <x:v>0.00288267</x:v>
      </x:c>
      <x:c r="G54" s="38" t="n">
        <x:v>0.21767609</x:v>
      </x:c>
      <x:c r="H54" s="38" t="n">
        <x:v>0.01547988</x:v>
      </x:c>
      <x:c r="I54" s="36" t="n">
        <x:v>50</x:v>
      </x:c>
    </x:row>
    <x:row r="55" ht="15" hidden="0" customHeight="1">
      <x:c r="A55" s="35" t="str">
        <x:v>CUSTOMER_0051</x:v>
      </x:c>
      <x:c r="B55" s="36" t="n">
        <x:v>12845</x:v>
      </x:c>
      <x:c r="C55" s="37" t="n">
        <x:v>2075472.06</x:v>
      </x:c>
      <x:c r="D55" s="37" t="n">
        <x:v>415430.76</x:v>
      </x:c>
      <x:c r="E55" s="38" t="n">
        <x:v>0.200162</x:v>
      </x:c>
      <x:c r="F55" s="38" t="n">
        <x:v>0.002865</x:v>
      </x:c>
      <x:c r="G55" s="38" t="n">
        <x:v>0.22054109</x:v>
      </x:c>
      <x:c r="H55" s="38" t="n">
        <x:v>0.01578947</x:v>
      </x:c>
      <x:c r="I55" s="36" t="n">
        <x:v>51</x:v>
      </x:c>
    </x:row>
    <x:row r="56" ht="15" hidden="0" customHeight="1">
      <x:c r="A56" s="35" t="str">
        <x:v>CUSTOMER_0052</x:v>
      </x:c>
      <x:c r="B56" s="36" t="n">
        <x:v>7576</x:v>
      </x:c>
      <x:c r="C56" s="37" t="n">
        <x:v>2063167.35</x:v>
      </x:c>
      <x:c r="D56" s="37" t="n">
        <x:v>413002.86</x:v>
      </x:c>
      <x:c r="E56" s="38" t="n">
        <x:v>0.200179</x:v>
      </x:c>
      <x:c r="F56" s="38" t="n">
        <x:v>0.00284801</x:v>
      </x:c>
      <x:c r="G56" s="38" t="n">
        <x:v>0.22338909999999998</x:v>
      </x:c>
      <x:c r="H56" s="38" t="n">
        <x:v>0.01609907</x:v>
      </x:c>
      <x:c r="I56" s="36" t="n">
        <x:v>52</x:v>
      </x:c>
    </x:row>
    <x:row r="57" ht="15" hidden="0" customHeight="1">
      <x:c r="A57" s="35" t="str">
        <x:v>CUSTOMER_0053</x:v>
      </x:c>
      <x:c r="B57" s="36" t="n">
        <x:v>7968</x:v>
      </x:c>
      <x:c r="C57" s="37" t="n">
        <x:v>2061966.55</x:v>
      </x:c>
      <x:c r="D57" s="37" t="n">
        <x:v>471237.65</x:v>
      </x:c>
      <x:c r="E57" s="38" t="n">
        <x:v>0.228538</x:v>
      </x:c>
      <x:c r="F57" s="38" t="n">
        <x:v>0.00284636</x:v>
      </x:c>
      <x:c r="G57" s="38" t="n">
        <x:v>0.22623546</x:v>
      </x:c>
      <x:c r="H57" s="38" t="n">
        <x:v>0.01640867</x:v>
      </x:c>
      <x:c r="I57" s="36" t="n">
        <x:v>53</x:v>
      </x:c>
    </x:row>
    <x:row r="58" ht="15" hidden="0" customHeight="1">
      <x:c r="A58" s="35" t="str">
        <x:v>CUSTOMER_0054</x:v>
      </x:c>
      <x:c r="B58" s="36" t="n">
        <x:v>8618</x:v>
      </x:c>
      <x:c r="C58" s="37" t="n">
        <x:v>1996753.99</x:v>
      </x:c>
      <x:c r="D58" s="37" t="n">
        <x:v>397434.15</x:v>
      </x:c>
      <x:c r="E58" s="38" t="n">
        <x:v>0.19904</x:v>
      </x:c>
      <x:c r="F58" s="38" t="n">
        <x:v>0.00275634</x:v>
      </x:c>
      <x:c r="G58" s="38" t="n">
        <x:v>0.22899179</x:v>
      </x:c>
      <x:c r="H58" s="38" t="n">
        <x:v>0.01671827</x:v>
      </x:c>
      <x:c r="I58" s="36" t="n">
        <x:v>54</x:v>
      </x:c>
    </x:row>
    <x:row r="59" ht="15" hidden="0" customHeight="1">
      <x:c r="A59" s="35" t="str">
        <x:v>CUSTOMER_0055</x:v>
      </x:c>
      <x:c r="B59" s="36" t="n">
        <x:v>6137</x:v>
      </x:c>
      <x:c r="C59" s="37" t="n">
        <x:v>1994562.77</x:v>
      </x:c>
      <x:c r="D59" s="37" t="n">
        <x:v>381456.48</x:v>
      </x:c>
      <x:c r="E59" s="38" t="n">
        <x:v>0.191248</x:v>
      </x:c>
      <x:c r="F59" s="38" t="n">
        <x:v>0.00275331</x:v>
      </x:c>
      <x:c r="G59" s="38" t="n">
        <x:v>0.2317451</x:v>
      </x:c>
      <x:c r="H59" s="38" t="n">
        <x:v>0.01702786</x:v>
      </x:c>
      <x:c r="I59" s="36" t="n">
        <x:v>55</x:v>
      </x:c>
    </x:row>
    <x:row r="60" ht="15" hidden="0" customHeight="1">
      <x:c r="A60" s="35" t="str">
        <x:v>CUSTOMER_0056</x:v>
      </x:c>
      <x:c r="B60" s="36" t="n">
        <x:v>8693</x:v>
      </x:c>
      <x:c r="C60" s="37" t="n">
        <x:v>1971293.9</x:v>
      </x:c>
      <x:c r="D60" s="37" t="n">
        <x:v>554689.56</x:v>
      </x:c>
      <x:c r="E60" s="38" t="n">
        <x:v>0.281383</x:v>
      </x:c>
      <x:c r="F60" s="38" t="n">
        <x:v>0.00272119</x:v>
      </x:c>
      <x:c r="G60" s="38" t="n">
        <x:v>0.23446629000000002</x:v>
      </x:c>
      <x:c r="H60" s="38" t="n">
        <x:v>0.01733746</x:v>
      </x:c>
      <x:c r="I60" s="36" t="n">
        <x:v>56</x:v>
      </x:c>
    </x:row>
    <x:row r="61" ht="15" hidden="0" customHeight="1">
      <x:c r="A61" s="35" t="str">
        <x:v>CUSTOMER_0057</x:v>
      </x:c>
      <x:c r="B61" s="36" t="n">
        <x:v>18728</x:v>
      </x:c>
      <x:c r="C61" s="37" t="n">
        <x:v>1958215.01</x:v>
      </x:c>
      <x:c r="D61" s="37" t="n">
        <x:v>511182.92</x:v>
      </x:c>
      <x:c r="E61" s="38" t="n">
        <x:v>0.261045</x:v>
      </x:c>
      <x:c r="F61" s="38" t="n">
        <x:v>0.00270314</x:v>
      </x:c>
      <x:c r="G61" s="38" t="n">
        <x:v>0.23716943000000001</x:v>
      </x:c>
      <x:c r="H61" s="38" t="n">
        <x:v>0.017647060000000003</x:v>
      </x:c>
      <x:c r="I61" s="36" t="n">
        <x:v>57</x:v>
      </x:c>
    </x:row>
    <x:row r="62" ht="15" hidden="0" customHeight="1">
      <x:c r="A62" s="35" t="str">
        <x:v>CUSTOMER_0058</x:v>
      </x:c>
      <x:c r="B62" s="36" t="n">
        <x:v>9110</x:v>
      </x:c>
      <x:c r="C62" s="37" t="n">
        <x:v>1935033.28</x:v>
      </x:c>
      <x:c r="D62" s="37" t="n">
        <x:v>453281.48</x:v>
      </x:c>
      <x:c r="E62" s="38" t="n">
        <x:v>0.23425</x:v>
      </x:c>
      <x:c r="F62" s="38" t="n">
        <x:v>0.0026711400000000002</x:v>
      </x:c>
      <x:c r="G62" s="38" t="n">
        <x:v>0.23984057</x:v>
      </x:c>
      <x:c r="H62" s="38" t="n">
        <x:v>0.01795666</x:v>
      </x:c>
      <x:c r="I62" s="36" t="n">
        <x:v>58</x:v>
      </x:c>
    </x:row>
    <x:row r="63" ht="15" hidden="0" customHeight="1">
      <x:c r="A63" s="35" t="str">
        <x:v>CUSTOMER_0059</x:v>
      </x:c>
      <x:c r="B63" s="36" t="n">
        <x:v>8743</x:v>
      </x:c>
      <x:c r="C63" s="37" t="n">
        <x:v>1921479.48</x:v>
      </x:c>
      <x:c r="D63" s="37" t="n">
        <x:v>361924.56</x:v>
      </x:c>
      <x:c r="E63" s="38" t="n">
        <x:v>0.188357</x:v>
      </x:c>
      <x:c r="F63" s="38" t="n">
        <x:v>0.00265243</x:v>
      </x:c>
      <x:c r="G63" s="38" t="n">
        <x:v>0.24249299000000002</x:v>
      </x:c>
      <x:c r="H63" s="38" t="n">
        <x:v>0.018266249999999998</x:v>
      </x:c>
      <x:c r="I63" s="36" t="n">
        <x:v>59</x:v>
      </x:c>
    </x:row>
    <x:row r="64" ht="15" hidden="0" customHeight="1">
      <x:c r="A64" s="35" t="str">
        <x:v>CUSTOMER_0060</x:v>
      </x:c>
      <x:c r="B64" s="36" t="n">
        <x:v>7529</x:v>
      </x:c>
      <x:c r="C64" s="37" t="n">
        <x:v>1874795.92</x:v>
      </x:c>
      <x:c r="D64" s="37" t="n">
        <x:v>413142.83</x:v>
      </x:c>
      <x:c r="E64" s="38" t="n">
        <x:v>0.220367</x:v>
      </x:c>
      <x:c r="F64" s="38" t="n">
        <x:v>0.0025879799999999997</x:v>
      </x:c>
      <x:c r="G64" s="38" t="n">
        <x:v>0.24508098</x:v>
      </x:c>
      <x:c r="H64" s="38" t="n">
        <x:v>0.01857585</x:v>
      </x:c>
      <x:c r="I64" s="36" t="n">
        <x:v>60</x:v>
      </x:c>
    </x:row>
    <x:row r="65" ht="15" hidden="0" customHeight="1">
      <x:c r="A65" s="35" t="str">
        <x:v>CUSTOMER_0061</x:v>
      </x:c>
      <x:c r="B65" s="36" t="n">
        <x:v>13090</x:v>
      </x:c>
      <x:c r="C65" s="37" t="n">
        <x:v>1860924.81</x:v>
      </x:c>
      <x:c r="D65" s="37" t="n">
        <x:v>378169.61</x:v>
      </x:c>
      <x:c r="E65" s="38" t="n">
        <x:v>0.203216</x:v>
      </x:c>
      <x:c r="F65" s="38" t="n">
        <x:v>0.00256884</x:v>
      </x:c>
      <x:c r="G65" s="38" t="n">
        <x:v>0.24764981</x:v>
      </x:c>
      <x:c r="H65" s="38" t="n">
        <x:v>0.018885449999999998</x:v>
      </x:c>
      <x:c r="I65" s="36" t="n">
        <x:v>61</x:v>
      </x:c>
    </x:row>
    <x:row r="66" ht="15" hidden="0" customHeight="1">
      <x:c r="A66" s="35" t="str">
        <x:v>CUSTOMER_0062</x:v>
      </x:c>
      <x:c r="B66" s="36" t="n">
        <x:v>7453</x:v>
      </x:c>
      <x:c r="C66" s="37" t="n">
        <x:v>1839334.67</x:v>
      </x:c>
      <x:c r="D66" s="37" t="n">
        <x:v>393588.49</x:v>
      </x:c>
      <x:c r="E66" s="38" t="n">
        <x:v>0.21398399999999998</x:v>
      </x:c>
      <x:c r="F66" s="38" t="n">
        <x:v>0.00253903</x:v>
      </x:c>
      <x:c r="G66" s="38" t="n">
        <x:v>0.25018885</x:v>
      </x:c>
      <x:c r="H66" s="38" t="n">
        <x:v>0.01919505</x:v>
      </x:c>
      <x:c r="I66" s="36" t="n">
        <x:v>62</x:v>
      </x:c>
    </x:row>
    <x:row r="67" ht="15" hidden="0" customHeight="1">
      <x:c r="A67" s="35" t="str">
        <x:v>CUSTOMER_0063</x:v>
      </x:c>
      <x:c r="B67" s="36" t="n">
        <x:v>12858</x:v>
      </x:c>
      <x:c r="C67" s="37" t="n">
        <x:v>1833616.33</x:v>
      </x:c>
      <x:c r="D67" s="37" t="n">
        <x:v>441369.58</x:v>
      </x:c>
      <x:c r="E67" s="38" t="n">
        <x:v>0.24071</x:v>
      </x:c>
      <x:c r="F67" s="38" t="n">
        <x:v>0.00253114</x:v>
      </x:c>
      <x:c r="G67" s="38" t="n">
        <x:v>0.25271999</x:v>
      </x:c>
      <x:c r="H67" s="38" t="n">
        <x:v>0.01950464</x:v>
      </x:c>
      <x:c r="I67" s="36" t="n">
        <x:v>63</x:v>
      </x:c>
    </x:row>
    <x:row r="68" ht="15" hidden="0" customHeight="1">
      <x:c r="A68" s="35" t="str">
        <x:v>CUSTOMER_0064</x:v>
      </x:c>
      <x:c r="B68" s="36" t="n">
        <x:v>5442</x:v>
      </x:c>
      <x:c r="C68" s="37" t="n">
        <x:v>1832761.96</x:v>
      </x:c>
      <x:c r="D68" s="37" t="n">
        <x:v>300385.3</x:v>
      </x:c>
      <x:c r="E68" s="38" t="n">
        <x:v>0.16389800000000002</x:v>
      </x:c>
      <x:c r="F68" s="38" t="n">
        <x:v>0.00252996</x:v>
      </x:c>
      <x:c r="G68" s="38" t="n">
        <x:v>0.25524995</x:v>
      </x:c>
      <x:c r="H68" s="38" t="n">
        <x:v>0.01981424</x:v>
      </x:c>
      <x:c r="I68" s="36" t="n">
        <x:v>64</x:v>
      </x:c>
    </x:row>
    <x:row r="69" ht="15" hidden="0" customHeight="1">
      <x:c r="A69" s="35" t="str">
        <x:v>CUSTOMER_0065</x:v>
      </x:c>
      <x:c r="B69" s="36" t="n">
        <x:v>9623</x:v>
      </x:c>
      <x:c r="C69" s="37" t="n">
        <x:v>1827021</x:v>
      </x:c>
      <x:c r="D69" s="37" t="n">
        <x:v>392299.94</x:v>
      </x:c>
      <x:c r="E69" s="38" t="n">
        <x:v>0.21472100000000002</x:v>
      </x:c>
      <x:c r="F69" s="38" t="n">
        <x:v>0.0025220399999999997</x:v>
      </x:c>
      <x:c r="G69" s="38" t="n">
        <x:v>0.25777198</x:v>
      </x:c>
      <x:c r="H69" s="38" t="n">
        <x:v>0.02012384</x:v>
      </x:c>
      <x:c r="I69" s="36" t="n">
        <x:v>65</x:v>
      </x:c>
    </x:row>
    <x:row r="70" ht="15" hidden="0" customHeight="1">
      <x:c r="A70" s="35" t="str">
        <x:v>CUSTOMER_0066</x:v>
      </x:c>
      <x:c r="B70" s="36" t="n">
        <x:v>9489</x:v>
      </x:c>
      <x:c r="C70" s="37" t="n">
        <x:v>1805068.87</x:v>
      </x:c>
      <x:c r="D70" s="37" t="n">
        <x:v>449047.02</x:v>
      </x:c>
      <x:c r="E70" s="38" t="n">
        <x:v>0.24877</x:v>
      </x:c>
      <x:c r="F70" s="38" t="n">
        <x:v>0.00249173</x:v>
      </x:c>
      <x:c r="G70" s="38" t="n">
        <x:v>0.26026371000000004</x:v>
      </x:c>
      <x:c r="H70" s="38" t="n">
        <x:v>0.020433439999999997</x:v>
      </x:c>
      <x:c r="I70" s="36" t="n">
        <x:v>66</x:v>
      </x:c>
    </x:row>
    <x:row r="71" ht="15" hidden="0" customHeight="1">
      <x:c r="A71" s="35" t="str">
        <x:v>CUSTOMER_0067</x:v>
      </x:c>
      <x:c r="B71" s="36" t="n">
        <x:v>10513</x:v>
      </x:c>
      <x:c r="C71" s="37" t="n">
        <x:v>1778060.7</x:v>
      </x:c>
      <x:c r="D71" s="37" t="n">
        <x:v>357141.14</x:v>
      </x:c>
      <x:c r="E71" s="38" t="n">
        <x:v>0.20085999999999998</x:v>
      </x:c>
      <x:c r="F71" s="38" t="n">
        <x:v>0.00245445</x:v>
      </x:c>
      <x:c r="G71" s="38" t="n">
        <x:v>0.26271816000000003</x:v>
      </x:c>
      <x:c r="H71" s="38" t="n">
        <x:v>0.02074303</x:v>
      </x:c>
      <x:c r="I71" s="36" t="n">
        <x:v>67</x:v>
      </x:c>
    </x:row>
    <x:row r="72" ht="15" hidden="0" customHeight="1">
      <x:c r="A72" s="35" t="str">
        <x:v>CUSTOMER_0068</x:v>
      </x:c>
      <x:c r="B72" s="36" t="n">
        <x:v>8518</x:v>
      </x:c>
      <x:c r="C72" s="37" t="n">
        <x:v>1767478.82</x:v>
      </x:c>
      <x:c r="D72" s="37" t="n">
        <x:v>390810.79</x:v>
      </x:c>
      <x:c r="E72" s="38" t="n">
        <x:v>0.221112</x:v>
      </x:c>
      <x:c r="F72" s="38" t="n">
        <x:v>0.00243984</x:v>
      </x:c>
      <x:c r="G72" s="38" t="n">
        <x:v>0.26515801</x:v>
      </x:c>
      <x:c r="H72" s="38" t="n">
        <x:v>0.02105263</x:v>
      </x:c>
      <x:c r="I72" s="36" t="n">
        <x:v>68</x:v>
      </x:c>
    </x:row>
    <x:row r="73" ht="15" hidden="0" customHeight="1">
      <x:c r="A73" s="35" t="str">
        <x:v>CUSTOMER_0069</x:v>
      </x:c>
      <x:c r="B73" s="36" t="n">
        <x:v>11248</x:v>
      </x:c>
      <x:c r="C73" s="37" t="n">
        <x:v>1759273.09</x:v>
      </x:c>
      <x:c r="D73" s="37" t="n">
        <x:v>334734.24</x:v>
      </x:c>
      <x:c r="E73" s="38" t="n">
        <x:v>0.19026800000000002</x:v>
      </x:c>
      <x:c r="F73" s="38" t="n">
        <x:v>0.00242852</x:v>
      </x:c>
      <x:c r="G73" s="38" t="n">
        <x:v>0.26758652</x:v>
      </x:c>
      <x:c r="H73" s="38" t="n">
        <x:v>0.021362230000000003</x:v>
      </x:c>
      <x:c r="I73" s="36" t="n">
        <x:v>69</x:v>
      </x:c>
    </x:row>
    <x:row r="74" ht="15" hidden="0" customHeight="1">
      <x:c r="A74" s="35" t="str">
        <x:v>CUSTOMER_0070</x:v>
      </x:c>
      <x:c r="B74" s="36" t="n">
        <x:v>10104</x:v>
      </x:c>
      <x:c r="C74" s="37" t="n">
        <x:v>1755638.5</x:v>
      </x:c>
      <x:c r="D74" s="37" t="n">
        <x:v>359747.87</x:v>
      </x:c>
      <x:c r="E74" s="38" t="n">
        <x:v>0.20491</x:v>
      </x:c>
      <x:c r="F74" s="38" t="n">
        <x:v>0.0024235000000000003</x:v>
      </x:c>
      <x:c r="G74" s="38" t="n">
        <x:v>0.27001002</x:v>
      </x:c>
      <x:c r="H74" s="38" t="n">
        <x:v>0.02167183</x:v>
      </x:c>
      <x:c r="I74" s="36" t="n">
        <x:v>70</x:v>
      </x:c>
    </x:row>
    <x:row r="75" ht="15" hidden="0" customHeight="1">
      <x:c r="A75" s="35" t="str">
        <x:v>CUSTOMER_0071</x:v>
      </x:c>
      <x:c r="B75" s="36" t="n">
        <x:v>10511</x:v>
      </x:c>
      <x:c r="C75" s="37" t="n">
        <x:v>1742345.14</x:v>
      </x:c>
      <x:c r="D75" s="37" t="n">
        <x:v>392923.66</x:v>
      </x:c>
      <x:c r="E75" s="38" t="n">
        <x:v>0.22551400000000002</x:v>
      </x:c>
      <x:c r="F75" s="38" t="n">
        <x:v>0.00240515</x:v>
      </x:c>
      <x:c r="G75" s="38" t="n">
        <x:v>0.27241517000000004</x:v>
      </x:c>
      <x:c r="H75" s="38" t="n">
        <x:v>0.021981419999999998</x:v>
      </x:c>
      <x:c r="I75" s="36" t="n">
        <x:v>71</x:v>
      </x:c>
    </x:row>
    <x:row r="76" ht="15" hidden="0" customHeight="1">
      <x:c r="A76" s="35" t="str">
        <x:v>CUSTOMER_0072</x:v>
      </x:c>
      <x:c r="B76" s="36" t="n">
        <x:v>9811</x:v>
      </x:c>
      <x:c r="C76" s="37" t="n">
        <x:v>1726785.51</x:v>
      </x:c>
      <x:c r="D76" s="37" t="n">
        <x:v>371887.53</x:v>
      </x:c>
      <x:c r="E76" s="38" t="n">
        <x:v>0.215364</x:v>
      </x:c>
      <x:c r="F76" s="38" t="n">
        <x:v>0.00238367</x:v>
      </x:c>
      <x:c r="G76" s="38" t="n">
        <x:v>0.27479884</x:v>
      </x:c>
      <x:c r="H76" s="38" t="n">
        <x:v>0.02229102</x:v>
      </x:c>
      <x:c r="I76" s="36" t="n">
        <x:v>72</x:v>
      </x:c>
    </x:row>
    <x:row r="77" ht="15" hidden="0" customHeight="1">
      <x:c r="A77" s="35" t="str">
        <x:v>CUSTOMER_0073</x:v>
      </x:c>
      <x:c r="B77" s="36" t="n">
        <x:v>10211</x:v>
      </x:c>
      <x:c r="C77" s="37" t="n">
        <x:v>1694286.08</x:v>
      </x:c>
      <x:c r="D77" s="37" t="n">
        <x:v>359464.74</x:v>
      </x:c>
      <x:c r="E77" s="38" t="n">
        <x:v>0.212163</x:v>
      </x:c>
      <x:c r="F77" s="38" t="n">
        <x:v>0.00233881</x:v>
      </x:c>
      <x:c r="G77" s="38" t="n">
        <x:v>0.27713764</x:v>
      </x:c>
      <x:c r="H77" s="38" t="n">
        <x:v>0.022600620000000002</x:v>
      </x:c>
      <x:c r="I77" s="36" t="n">
        <x:v>73</x:v>
      </x:c>
    </x:row>
    <x:row r="78" ht="15" hidden="0" customHeight="1">
      <x:c r="A78" s="35" t="str">
        <x:v>CUSTOMER_0074</x:v>
      </x:c>
      <x:c r="B78" s="36" t="n">
        <x:v>8018</x:v>
      </x:c>
      <x:c r="C78" s="37" t="n">
        <x:v>1655158.22</x:v>
      </x:c>
      <x:c r="D78" s="37" t="n">
        <x:v>306436.34</x:v>
      </x:c>
      <x:c r="E78" s="38" t="n">
        <x:v>0.18514</x:v>
      </x:c>
      <x:c r="F78" s="38" t="n">
        <x:v>0.00228479</x:v>
      </x:c>
      <x:c r="G78" s="38" t="n">
        <x:v>0.27942244</x:v>
      </x:c>
      <x:c r="H78" s="38" t="n">
        <x:v>0.02291022</x:v>
      </x:c>
      <x:c r="I78" s="36" t="n">
        <x:v>74</x:v>
      </x:c>
    </x:row>
    <x:row r="79" ht="15" hidden="0" customHeight="1">
      <x:c r="A79" s="35" t="str">
        <x:v>CUSTOMER_0075</x:v>
      </x:c>
      <x:c r="B79" s="36" t="n">
        <x:v>4537</x:v>
      </x:c>
      <x:c r="C79" s="37" t="n">
        <x:v>1649166.52</x:v>
      </x:c>
      <x:c r="D79" s="37" t="n">
        <x:v>316187.86</x:v>
      </x:c>
      <x:c r="E79" s="38" t="n">
        <x:v>0.19172599999999998</x:v>
      </x:c>
      <x:c r="F79" s="38" t="n">
        <x:v>0.0022765199999999998</x:v>
      </x:c>
      <x:c r="G79" s="38" t="n">
        <x:v>0.28169896</x:v>
      </x:c>
      <x:c r="H79" s="38" t="n">
        <x:v>0.02321981</x:v>
      </x:c>
      <x:c r="I79" s="36" t="n">
        <x:v>75</x:v>
      </x:c>
    </x:row>
    <x:row r="80" ht="15" hidden="0" customHeight="1">
      <x:c r="A80" s="35" t="str">
        <x:v>CUSTOMER_0076</x:v>
      </x:c>
      <x:c r="B80" s="36" t="n">
        <x:v>10993</x:v>
      </x:c>
      <x:c r="C80" s="37" t="n">
        <x:v>1638566.66</x:v>
      </x:c>
      <x:c r="D80" s="37" t="n">
        <x:v>332007.28</x:v>
      </x:c>
      <x:c r="E80" s="38" t="n">
        <x:v>0.202621</x:v>
      </x:c>
      <x:c r="F80" s="38" t="n">
        <x:v>0.00226189</x:v>
      </x:c>
      <x:c r="G80" s="38" t="n">
        <x:v>0.28396085</x:v>
      </x:c>
      <x:c r="H80" s="38" t="n">
        <x:v>0.02352941</x:v>
      </x:c>
      <x:c r="I80" s="36" t="n">
        <x:v>76</x:v>
      </x:c>
    </x:row>
    <x:row r="81" ht="15" hidden="0" customHeight="1">
      <x:c r="A81" s="35" t="str">
        <x:v>CUSTOMER_0077</x:v>
      </x:c>
      <x:c r="B81" s="36" t="n">
        <x:v>1461</x:v>
      </x:c>
      <x:c r="C81" s="37" t="n">
        <x:v>1602069.53</x:v>
      </x:c>
      <x:c r="D81" s="37" t="n">
        <x:v>268045.85</x:v>
      </x:c>
      <x:c r="E81" s="38" t="n">
        <x:v>0.16731200000000002</x:v>
      </x:c>
      <x:c r="F81" s="38" t="n">
        <x:v>0.00221151</x:v>
      </x:c>
      <x:c r="G81" s="38" t="n">
        <x:v>0.28617235999999996</x:v>
      </x:c>
      <x:c r="H81" s="38" t="n">
        <x:v>0.023839009999999997</x:v>
      </x:c>
      <x:c r="I81" s="36" t="n">
        <x:v>77</x:v>
      </x:c>
    </x:row>
    <x:row r="82" ht="15" hidden="0" customHeight="1">
      <x:c r="A82" s="35" t="str">
        <x:v>CUSTOMER_0078</x:v>
      </x:c>
      <x:c r="B82" s="36" t="n">
        <x:v>13908</x:v>
      </x:c>
      <x:c r="C82" s="37" t="n">
        <x:v>1601089.18</x:v>
      </x:c>
      <x:c r="D82" s="37" t="n">
        <x:v>367146.64</x:v>
      </x:c>
      <x:c r="E82" s="38" t="n">
        <x:v>0.22931100000000001</x:v>
      </x:c>
      <x:c r="F82" s="38" t="n">
        <x:v>0.00221016</x:v>
      </x:c>
      <x:c r="G82" s="38" t="n">
        <x:v>0.28838252000000003</x:v>
      </x:c>
      <x:c r="H82" s="38" t="n">
        <x:v>0.02414861</x:v>
      </x:c>
      <x:c r="I82" s="36" t="n">
        <x:v>78</x:v>
      </x:c>
    </x:row>
    <x:row r="83" ht="15" hidden="0" customHeight="1">
      <x:c r="A83" s="35" t="str">
        <x:v>CUSTOMER_0079</x:v>
      </x:c>
      <x:c r="B83" s="36" t="n">
        <x:v>5837</x:v>
      </x:c>
      <x:c r="C83" s="37" t="n">
        <x:v>1591897.61</x:v>
      </x:c>
      <x:c r="D83" s="37" t="n">
        <x:v>397448.7</x:v>
      </x:c>
      <x:c r="E83" s="38" t="n">
        <x:v>0.24966999999999998</x:v>
      </x:c>
      <x:c r="F83" s="38" t="n">
        <x:v>0.00219747</x:v>
      </x:c>
      <x:c r="G83" s="38" t="n">
        <x:v>0.29057999</x:v>
      </x:c>
      <x:c r="H83" s="38" t="n">
        <x:v>0.0244582</x:v>
      </x:c>
      <x:c r="I83" s="36" t="n">
        <x:v>79</x:v>
      </x:c>
    </x:row>
    <x:row r="84" ht="15" hidden="0" customHeight="1">
      <x:c r="A84" s="35" t="str">
        <x:v>CUSTOMER_0080</x:v>
      </x:c>
      <x:c r="B84" s="36" t="n">
        <x:v>5498</x:v>
      </x:c>
      <x:c r="C84" s="37" t="n">
        <x:v>1588608.58</x:v>
      </x:c>
      <x:c r="D84" s="37" t="n">
        <x:v>340531.06</x:v>
      </x:c>
      <x:c r="E84" s="38" t="n">
        <x:v>0.214358</x:v>
      </x:c>
      <x:c r="F84" s="38" t="n">
        <x:v>0.00219293</x:v>
      </x:c>
      <x:c r="G84" s="38" t="n">
        <x:v>0.29277292</x:v>
      </x:c>
      <x:c r="H84" s="38" t="n">
        <x:v>0.024767800000000003</x:v>
      </x:c>
      <x:c r="I84" s="36" t="n">
        <x:v>80</x:v>
      </x:c>
    </x:row>
    <x:row r="85" ht="15" hidden="0" customHeight="1">
      <x:c r="A85" s="35" t="str">
        <x:v>CUSTOMER_0081</x:v>
      </x:c>
      <x:c r="B85" s="36" t="n">
        <x:v>6702</x:v>
      </x:c>
      <x:c r="C85" s="37" t="n">
        <x:v>1587686.09</x:v>
      </x:c>
      <x:c r="D85" s="37" t="n">
        <x:v>328134.25</x:v>
      </x:c>
      <x:c r="E85" s="38" t="n">
        <x:v>0.206675</x:v>
      </x:c>
      <x:c r="F85" s="38" t="n">
        <x:v>0.00219166</x:v>
      </x:c>
      <x:c r="G85" s="38" t="n">
        <x:v>0.29496457</x:v>
      </x:c>
      <x:c r="H85" s="38" t="n">
        <x:v>0.0250774</x:v>
      </x:c>
      <x:c r="I85" s="36" t="n">
        <x:v>81</x:v>
      </x:c>
    </x:row>
    <x:row r="86" ht="15" hidden="0" customHeight="1">
      <x:c r="A86" s="35" t="str">
        <x:v>CUSTOMER_0082</x:v>
      </x:c>
      <x:c r="B86" s="36" t="n">
        <x:v>10080</x:v>
      </x:c>
      <x:c r="C86" s="37" t="n">
        <x:v>1574927.65</x:v>
      </x:c>
      <x:c r="D86" s="37" t="n">
        <x:v>323790.99</x:v>
      </x:c>
      <x:c r="E86" s="38" t="n">
        <x:v>0.205591</x:v>
      </x:c>
      <x:c r="F86" s="38" t="n">
        <x:v>0.00217404</x:v>
      </x:c>
      <x:c r="G86" s="38" t="n">
        <x:v>0.29713861999999996</x:v>
      </x:c>
      <x:c r="H86" s="38" t="n">
        <x:v>0.025387</x:v>
      </x:c>
      <x:c r="I86" s="36" t="n">
        <x:v>82</x:v>
      </x:c>
    </x:row>
    <x:row r="87" ht="15" hidden="0" customHeight="1">
      <x:c r="A87" s="35" t="str">
        <x:v>CUSTOMER_0083</x:v>
      </x:c>
      <x:c r="B87" s="36" t="n">
        <x:v>7652</x:v>
      </x:c>
      <x:c r="C87" s="37" t="n">
        <x:v>1573112.42</x:v>
      </x:c>
      <x:c r="D87" s="37" t="n">
        <x:v>354388.27</x:v>
      </x:c>
      <x:c r="E87" s="38" t="n">
        <x:v>0.22527799999999998</x:v>
      </x:c>
      <x:c r="F87" s="38" t="n">
        <x:v>0.00217154</x:v>
      </x:c>
      <x:c r="G87" s="38" t="n">
        <x:v>0.29931015</x:v>
      </x:c>
      <x:c r="H87" s="38" t="n">
        <x:v>0.025696590000000002</x:v>
      </x:c>
      <x:c r="I87" s="36" t="n">
        <x:v>83</x:v>
      </x:c>
    </x:row>
    <x:row r="88" ht="15" hidden="0" customHeight="1">
      <x:c r="A88" s="35" t="str">
        <x:v>CUSTOMER_0084</x:v>
      </x:c>
      <x:c r="B88" s="36" t="n">
        <x:v>12973</x:v>
      </x:c>
      <x:c r="C88" s="37" t="n">
        <x:v>1557256.28</x:v>
      </x:c>
      <x:c r="D88" s="37" t="n">
        <x:v>375192.85</x:v>
      </x:c>
      <x:c r="E88" s="38" t="n">
        <x:v>0.240932</x:v>
      </x:c>
      <x:c r="F88" s="38" t="n">
        <x:v>0.00214965</x:v>
      </x:c>
      <x:c r="G88" s="38" t="n">
        <x:v>0.3014598</x:v>
      </x:c>
      <x:c r="H88" s="38" t="n">
        <x:v>0.02600619</x:v>
      </x:c>
      <x:c r="I88" s="36" t="n">
        <x:v>84</x:v>
      </x:c>
    </x:row>
    <x:row r="89" ht="15" hidden="0" customHeight="1">
      <x:c r="A89" s="35" t="str">
        <x:v>CUSTOMER_0085</x:v>
      </x:c>
      <x:c r="B89" s="36" t="n">
        <x:v>14717</x:v>
      </x:c>
      <x:c r="C89" s="37" t="n">
        <x:v>1534541.1</x:v>
      </x:c>
      <x:c r="D89" s="37" t="n">
        <x:v>428096.94</x:v>
      </x:c>
      <x:c r="E89" s="38" t="n">
        <x:v>0.278974</x:v>
      </x:c>
      <x:c r="F89" s="38" t="n">
        <x:v>0.00211829</x:v>
      </x:c>
      <x:c r="G89" s="38" t="n">
        <x:v>0.3035781</x:v>
      </x:c>
      <x:c r="H89" s="38" t="n">
        <x:v>0.02631579</x:v>
      </x:c>
      <x:c r="I89" s="36" t="n">
        <x:v>85</x:v>
      </x:c>
    </x:row>
    <x:row r="90" ht="15" hidden="0" customHeight="1">
      <x:c r="A90" s="35" t="str">
        <x:v>CUSTOMER_0086</x:v>
      </x:c>
      <x:c r="B90" s="36" t="n">
        <x:v>6586</x:v>
      </x:c>
      <x:c r="C90" s="37" t="n">
        <x:v>1528660.65</x:v>
      </x:c>
      <x:c r="D90" s="37" t="n">
        <x:v>292370.38</x:v>
      </x:c>
      <x:c r="E90" s="38" t="n">
        <x:v>0.191259</x:v>
      </x:c>
      <x:c r="F90" s="38" t="n">
        <x:v>0.00211018</x:v>
      </x:c>
      <x:c r="G90" s="38" t="n">
        <x:v>0.30568827</x:v>
      </x:c>
      <x:c r="H90" s="38" t="n">
        <x:v>0.026625390000000002</x:v>
      </x:c>
      <x:c r="I90" s="36" t="n">
        <x:v>86</x:v>
      </x:c>
    </x:row>
    <x:row r="91" ht="15" hidden="0" customHeight="1">
      <x:c r="A91" s="35" t="str">
        <x:v>CUSTOMER_0087</x:v>
      </x:c>
      <x:c r="B91" s="36" t="n">
        <x:v>3467</x:v>
      </x:c>
      <x:c r="C91" s="37" t="n">
        <x:v>1526082.85</x:v>
      </x:c>
      <x:c r="D91" s="37" t="n">
        <x:v>357632.22</x:v>
      </x:c>
      <x:c r="E91" s="38" t="n">
        <x:v>0.234347</x:v>
      </x:c>
      <x:c r="F91" s="38" t="n">
        <x:v>0.00210662</x:v>
      </x:c>
      <x:c r="G91" s="38" t="n">
        <x:v>0.30779489000000004</x:v>
      </x:c>
      <x:c r="H91" s="38" t="n">
        <x:v>0.02693498</x:v>
      </x:c>
      <x:c r="I91" s="36" t="n">
        <x:v>87</x:v>
      </x:c>
    </x:row>
    <x:row r="92" ht="15" hidden="0" customHeight="1">
      <x:c r="A92" s="35" t="str">
        <x:v>CUSTOMER_0088</x:v>
      </x:c>
      <x:c r="B92" s="36" t="n">
        <x:v>12684</x:v>
      </x:c>
      <x:c r="C92" s="37" t="n">
        <x:v>1523790.96</x:v>
      </x:c>
      <x:c r="D92" s="37" t="n">
        <x:v>396147.52</x:v>
      </x:c>
      <x:c r="E92" s="38" t="n">
        <x:v>0.259975</x:v>
      </x:c>
      <x:c r="F92" s="38" t="n">
        <x:v>0.00210345</x:v>
      </x:c>
      <x:c r="G92" s="38" t="n">
        <x:v>0.30989834</x:v>
      </x:c>
      <x:c r="H92" s="38" t="n">
        <x:v>0.027244579999999997</x:v>
      </x:c>
      <x:c r="I92" s="36" t="n">
        <x:v>88</x:v>
      </x:c>
    </x:row>
    <x:row r="93" ht="15" hidden="0" customHeight="1">
      <x:c r="A93" s="35" t="str">
        <x:v>CUSTOMER_0089</x:v>
      </x:c>
      <x:c r="B93" s="36" t="n">
        <x:v>9937</x:v>
      </x:c>
      <x:c r="C93" s="37" t="n">
        <x:v>1511996.46</x:v>
      </x:c>
      <x:c r="D93" s="37" t="n">
        <x:v>348501.04</x:v>
      </x:c>
      <x:c r="E93" s="38" t="n">
        <x:v>0.230491</x:v>
      </x:c>
      <x:c r="F93" s="38" t="n">
        <x:v>0.00208717</x:v>
      </x:c>
      <x:c r="G93" s="38" t="n">
        <x:v>0.31198552</x:v>
      </x:c>
      <x:c r="H93" s="38" t="n">
        <x:v>0.02755418</x:v>
      </x:c>
      <x:c r="I93" s="36" t="n">
        <x:v>89</x:v>
      </x:c>
    </x:row>
    <x:row r="94" ht="15" hidden="0" customHeight="1">
      <x:c r="A94" s="35" t="str">
        <x:v>CUSTOMER_0090</x:v>
      </x:c>
      <x:c r="B94" s="36" t="n">
        <x:v>5686</x:v>
      </x:c>
      <x:c r="C94" s="37" t="n">
        <x:v>1502692.88</x:v>
      </x:c>
      <x:c r="D94" s="37" t="n">
        <x:v>333486.32</x:v>
      </x:c>
      <x:c r="E94" s="38" t="n">
        <x:v>0.22192599999999998</x:v>
      </x:c>
      <x:c r="F94" s="38" t="n">
        <x:v>0.00207433</x:v>
      </x:c>
      <x:c r="G94" s="38" t="n">
        <x:v>0.31405985000000003</x:v>
      </x:c>
      <x:c r="H94" s="38" t="n">
        <x:v>0.02786378</x:v>
      </x:c>
      <x:c r="I94" s="36" t="n">
        <x:v>90</x:v>
      </x:c>
    </x:row>
    <x:row r="95" ht="15" hidden="0" customHeight="1">
      <x:c r="A95" s="35" t="str">
        <x:v>CUSTOMER_0091</x:v>
      </x:c>
      <x:c r="B95" s="36" t="n">
        <x:v>11607</x:v>
      </x:c>
      <x:c r="C95" s="37" t="n">
        <x:v>1482916.84</x:v>
      </x:c>
      <x:c r="D95" s="37" t="n">
        <x:v>346347.52</x:v>
      </x:c>
      <x:c r="E95" s="38" t="n">
        <x:v>0.233558</x:v>
      </x:c>
      <x:c r="F95" s="38" t="n">
        <x:v>0.00204703</x:v>
      </x:c>
      <x:c r="G95" s="38" t="n">
        <x:v>0.31610688</x:v>
      </x:c>
      <x:c r="H95" s="38" t="n">
        <x:v>0.028173370000000003</x:v>
      </x:c>
      <x:c r="I95" s="36" t="n">
        <x:v>91</x:v>
      </x:c>
    </x:row>
    <x:row r="96" ht="15" hidden="0" customHeight="1">
      <x:c r="A96" s="35" t="str">
        <x:v>CUSTOMER_0092</x:v>
      </x:c>
      <x:c r="B96" s="36" t="n">
        <x:v>11468</x:v>
      </x:c>
      <x:c r="C96" s="37" t="n">
        <x:v>1482870.05</x:v>
      </x:c>
      <x:c r="D96" s="37" t="n">
        <x:v>338554</x:v>
      </x:c>
      <x:c r="E96" s="38" t="n">
        <x:v>0.22830999999999999</x:v>
      </x:c>
      <x:c r="F96" s="38" t="n">
        <x:v>0.00204697</x:v>
      </x:c>
      <x:c r="G96" s="38" t="n">
        <x:v>0.31815384</x:v>
      </x:c>
      <x:c r="H96" s="38" t="n">
        <x:v>0.02848297</x:v>
      </x:c>
      <x:c r="I96" s="36" t="n">
        <x:v>92</x:v>
      </x:c>
    </x:row>
    <x:row r="97" ht="15" hidden="0" customHeight="1">
      <x:c r="A97" s="35" t="str">
        <x:v>CUSTOMER_0093</x:v>
      </x:c>
      <x:c r="B97" s="36" t="n">
        <x:v>8578</x:v>
      </x:c>
      <x:c r="C97" s="37" t="n">
        <x:v>1465979.61</x:v>
      </x:c>
      <x:c r="D97" s="37" t="n">
        <x:v>368205.64</x:v>
      </x:c>
      <x:c r="E97" s="38" t="n">
        <x:v>0.25116700000000003</x:v>
      </x:c>
      <x:c r="F97" s="38" t="n">
        <x:v>0.00202365</x:v>
      </x:c>
      <x:c r="G97" s="38" t="n">
        <x:v>0.32017749</x:v>
      </x:c>
      <x:c r="H97" s="38" t="n">
        <x:v>0.02879257</x:v>
      </x:c>
      <x:c r="I97" s="36" t="n">
        <x:v>93</x:v>
      </x:c>
    </x:row>
    <x:row r="98" ht="15" hidden="0" customHeight="1">
      <x:c r="A98" s="35" t="str">
        <x:v>CUSTOMER_0094</x:v>
      </x:c>
      <x:c r="B98" s="36" t="n">
        <x:v>690</x:v>
      </x:c>
      <x:c r="C98" s="37" t="n">
        <x:v>1464997.34</x:v>
      </x:c>
      <x:c r="D98" s="37" t="n">
        <x:v>199069.23</x:v>
      </x:c>
      <x:c r="E98" s="38" t="n">
        <x:v>0.135884</x:v>
      </x:c>
      <x:c r="F98" s="38" t="n">
        <x:v>0.00202229</x:v>
      </x:c>
      <x:c r="G98" s="38" t="n">
        <x:v>0.32219979000000004</x:v>
      </x:c>
      <x:c r="H98" s="38" t="n">
        <x:v>0.029102169999999997</x:v>
      </x:c>
      <x:c r="I98" s="36" t="n">
        <x:v>94</x:v>
      </x:c>
    </x:row>
    <x:row r="99" ht="15" hidden="0" customHeight="1">
      <x:c r="A99" s="35" t="str">
        <x:v>CUSTOMER_0095</x:v>
      </x:c>
      <x:c r="B99" s="36" t="n">
        <x:v>851</x:v>
      </x:c>
      <x:c r="C99" s="37" t="n">
        <x:v>1460173.34</x:v>
      </x:c>
      <x:c r="D99" s="37" t="n">
        <x:v>208660.23</x:v>
      </x:c>
      <x:c r="E99" s="38" t="n">
        <x:v>0.142901</x:v>
      </x:c>
      <x:c r="F99" s="38" t="n">
        <x:v>0.00201564</x:v>
      </x:c>
      <x:c r="G99" s="38" t="n">
        <x:v>0.32421542000000003</x:v>
      </x:c>
      <x:c r="H99" s="38" t="n">
        <x:v>0.02941176</x:v>
      </x:c>
      <x:c r="I99" s="36" t="n">
        <x:v>95</x:v>
      </x:c>
    </x:row>
    <x:row r="100" ht="15" hidden="0" customHeight="1">
      <x:c r="A100" s="35" t="str">
        <x:v>CUSTOMER_0096</x:v>
      </x:c>
      <x:c r="B100" s="36" t="n">
        <x:v>8608</x:v>
      </x:c>
      <x:c r="C100" s="37" t="n">
        <x:v>1455370.53</x:v>
      </x:c>
      <x:c r="D100" s="37" t="n">
        <x:v>326982.06</x:v>
      </x:c>
      <x:c r="E100" s="38" t="n">
        <x:v>0.224673</x:v>
      </x:c>
      <x:c r="F100" s="38" t="n">
        <x:v>0.00200901</x:v>
      </x:c>
      <x:c r="G100" s="38" t="n">
        <x:v>0.32622442999999995</x:v>
      </x:c>
      <x:c r="H100" s="38" t="n">
        <x:v>0.02972136</x:v>
      </x:c>
      <x:c r="I100" s="36" t="n">
        <x:v>96</x:v>
      </x:c>
    </x:row>
    <x:row r="101" ht="15" hidden="0" customHeight="1">
      <x:c r="A101" s="35" t="str">
        <x:v>CUSTOMER_0097</x:v>
      </x:c>
      <x:c r="B101" s="36" t="n">
        <x:v>12437</x:v>
      </x:c>
      <x:c r="C101" s="37" t="n">
        <x:v>1434633.88</x:v>
      </x:c>
      <x:c r="D101" s="37" t="n">
        <x:v>344019</x:v>
      </x:c>
      <x:c r="E101" s="38" t="n">
        <x:v>0.239796</x:v>
      </x:c>
      <x:c r="F101" s="38" t="n">
        <x:v>0.00198038</x:v>
      </x:c>
      <x:c r="G101" s="38" t="n">
        <x:v>0.32820481</x:v>
      </x:c>
      <x:c r="H101" s="38" t="n">
        <x:v>0.030030960000000002</x:v>
      </x:c>
      <x:c r="I101" s="36" t="n">
        <x:v>97</x:v>
      </x:c>
    </x:row>
    <x:row r="102" ht="15" hidden="0" customHeight="1">
      <x:c r="A102" s="35" t="str">
        <x:v>CUSTOMER_0098</x:v>
      </x:c>
      <x:c r="B102" s="36" t="n">
        <x:v>361</x:v>
      </x:c>
      <x:c r="C102" s="37" t="n">
        <x:v>1424037.31</x:v>
      </x:c>
      <x:c r="D102" s="37" t="n">
        <x:v>213088.44</x:v>
      </x:c>
      <x:c r="E102" s="38" t="n">
        <x:v>0.149637</x:v>
      </x:c>
      <x:c r="F102" s="38" t="n">
        <x:v>0.00196575</x:v>
      </x:c>
      <x:c r="G102" s="38" t="n">
        <x:v>0.33017055999999995</x:v>
      </x:c>
      <x:c r="H102" s="38" t="n">
        <x:v>0.030340560000000003</x:v>
      </x:c>
      <x:c r="I102" s="36" t="n">
        <x:v>98</x:v>
      </x:c>
    </x:row>
    <x:row r="103" ht="15" hidden="0" customHeight="1">
      <x:c r="A103" s="35" t="str">
        <x:v>CUSTOMER_0099</x:v>
      </x:c>
      <x:c r="B103" s="36" t="n">
        <x:v>5427</x:v>
      </x:c>
      <x:c r="C103" s="37" t="n">
        <x:v>1422652.8</x:v>
      </x:c>
      <x:c r="D103" s="37" t="n">
        <x:v>356356.69</x:v>
      </x:c>
      <x:c r="E103" s="38" t="n">
        <x:v>0.250487</x:v>
      </x:c>
      <x:c r="F103" s="38" t="n">
        <x:v>0.00196384</x:v>
      </x:c>
      <x:c r="G103" s="38" t="n">
        <x:v>0.33213441000000005</x:v>
      </x:c>
      <x:c r="H103" s="38" t="n">
        <x:v>0.030650149999999998</x:v>
      </x:c>
      <x:c r="I103" s="36" t="n">
        <x:v>99</x:v>
      </x:c>
    </x:row>
    <x:row r="104" ht="15" hidden="0" customHeight="1">
      <x:c r="A104" s="35" t="str">
        <x:v>CUSTOMER_0100</x:v>
      </x:c>
      <x:c r="B104" s="36" t="n">
        <x:v>927</x:v>
      </x:c>
      <x:c r="C104" s="37" t="n">
        <x:v>1418405.52</x:v>
      </x:c>
      <x:c r="D104" s="37" t="n">
        <x:v>232950.28</x:v>
      </x:c>
      <x:c r="E104" s="38" t="n">
        <x:v>0.16423400000000002</x:v>
      </x:c>
      <x:c r="F104" s="38" t="n">
        <x:v>0.00195798</x:v>
      </x:c>
      <x:c r="G104" s="38" t="n">
        <x:v>0.33409238</x:v>
      </x:c>
      <x:c r="H104" s="38" t="n">
        <x:v>0.03095975</x:v>
      </x:c>
      <x:c r="I104" s="36" t="n">
        <x:v>100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0d73844fc6ec4ca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5.380000114440918" hidden="0" customWidth="1"/>
    <x:col min="3" max="3" width="12.130000114440918" hidden="0" customWidth="1"/>
    <x:col min="4" max="4" width="16.5" hidden="0" customWidth="1"/>
    <x:col min="5" max="5" width="15.25" hidden="0" customWidth="1"/>
    <x:col min="6" max="6" width="21.75" hidden="0" customWidth="1"/>
    <x:col min="7" max="7" width="30.3799991607666" hidden="0" customWidth="1"/>
    <x:col min="8" max="8" width="23.25" hidden="0" customWidth="1"/>
    <x:col min="9" max="9" width="23.5" hidden="0" customWidth="1"/>
  </x:cols>
  <x:sheetData>
    <x:row r="1" ht="32" customHeight="1">
      <x:c r="A1" s="3" t="str">
        <x:v>Customer Lifecycle and Revenue at Risk</x:v>
      </x:c>
    </x:row>
    <x:row r="2" ht="24" customHeight="1">
      <x:c r="A2" s="6" t="str">
        <x:v>Status measured at December 2024; risk is a trailing historical baseline, not a forecast</x:v>
      </x:c>
    </x:row>
    <x:row r="4" ht="15" hidden="0" customHeight="1">
      <x:c r="A4" s="34" t="str">
        <x:v>Churn Risk Bucket</x:v>
      </x:c>
      <x:c r="B4" s="34" t="str">
        <x:v>Customer Count</x:v>
      </x:c>
      <x:c r="C4" s="34" t="str">
        <x:v>Customer %</x:v>
      </x:c>
      <x:c r="D4" s="34" t="str">
        <x:v>Baseline Revenue</x:v>
      </x:c>
      <x:c r="E4" s="34" t="str">
        <x:v>Revenue At Risk</x:v>
      </x:c>
      <x:c r="F4" s="34" t="str">
        <x:v>Revenue At Risk Share %</x:v>
      </x:c>
      <x:c r="G4" s="34" t="str">
        <x:v>Revenue At Risk % Of 2024 Revenue</x:v>
      </x:c>
      <x:c r="H4" s="34" t="str">
        <x:v>Minimum Months Inactive</x:v>
      </x:c>
      <x:c r="I4" s="34" t="str">
        <x:v>Maximum Months Inactive</x:v>
      </x:c>
    </x:row>
    <x:row r="5" ht="15" hidden="0" customHeight="1">
      <x:c r="A5" s="35" t="str">
        <x:v>Active (0-3 months)</x:v>
      </x:c>
      <x:c r="B5" s="36" t="n">
        <x:v>1678</x:v>
      </x:c>
      <x:c r="C5" s="38" t="n">
        <x:v>0.5195000000000001</x:v>
      </x:c>
      <x:c r="D5" s="37" t="n">
        <x:v>130224621.42</x:v>
      </x:c>
      <x:c r="E5" s="37" t="n">
        <x:v>0</x:v>
      </x:c>
      <x:c r="F5" s="38" t="n">
        <x:v>0</x:v>
      </x:c>
      <x:c r="G5" s="38" t="n">
        <x:v>0</x:v>
      </x:c>
      <x:c r="H5" s="36" t="n">
        <x:v>0</x:v>
      </x:c>
      <x:c r="I5" s="36" t="n">
        <x:v>3</x:v>
      </x:c>
    </x:row>
    <x:row r="6" ht="15" hidden="0" customHeight="1">
      <x:c r="A6" s="35" t="str">
        <x:v>Watch (4-6 months)</x:v>
      </x:c>
      <x:c r="B6" s="36" t="n">
        <x:v>98</x:v>
      </x:c>
      <x:c r="C6" s="38" t="n">
        <x:v>0.030299999999999997</x:v>
      </x:c>
      <x:c r="D6" s="37" t="n">
        <x:v>1490657.06</x:v>
      </x:c>
      <x:c r="E6" s="37" t="n">
        <x:v>1490657.06</x:v>
      </x:c>
      <x:c r="F6" s="38" t="n">
        <x:v>0.0647</x:v>
      </x:c>
      <x:c r="G6" s="38" t="n">
        <x:v>0.011399999999999999</x:v>
      </x:c>
      <x:c r="H6" s="36" t="n">
        <x:v>4</x:v>
      </x:c>
      <x:c r="I6" s="36" t="n">
        <x:v>6</x:v>
      </x:c>
    </x:row>
    <x:row r="7" ht="15" hidden="0" customHeight="1">
      <x:c r="A7" s="35" t="str">
        <x:v>At Risk (7-12 months)</x:v>
      </x:c>
      <x:c r="B7" s="36" t="n">
        <x:v>165</x:v>
      </x:c>
      <x:c r="C7" s="38" t="n">
        <x:v>0.051100000000000007</x:v>
      </x:c>
      <x:c r="D7" s="37" t="n">
        <x:v>2595480.24</x:v>
      </x:c>
      <x:c r="E7" s="37" t="n">
        <x:v>2595480.24</x:v>
      </x:c>
      <x:c r="F7" s="38" t="n">
        <x:v>0.11259999999999999</x:v>
      </x:c>
      <x:c r="G7" s="38" t="n">
        <x:v>0.019799999999999998</x:v>
      </x:c>
      <x:c r="H7" s="36" t="n">
        <x:v>7</x:v>
      </x:c>
      <x:c r="I7" s="36" t="n">
        <x:v>12</x:v>
      </x:c>
    </x:row>
    <x:row r="8" ht="15" hidden="0" customHeight="1">
      <x:c r="A8" s="35" t="str">
        <x:v>Dormant (13+ months)</x:v>
      </x:c>
      <x:c r="B8" s="36" t="n">
        <x:v>1268</x:v>
      </x:c>
      <x:c r="C8" s="38" t="n">
        <x:v>0.3926</x:v>
      </x:c>
      <x:c r="D8" s="37" t="n">
        <x:v>18960597.06</x:v>
      </x:c>
      <x:c r="E8" s="37" t="n">
        <x:v>18960597.06</x:v>
      </x:c>
      <x:c r="F8" s="38" t="n">
        <x:v>0.8227</x:v>
      </x:c>
      <x:c r="G8" s="38" t="n">
        <x:v>0.1448</x:v>
      </x:c>
      <x:c r="H8" s="36" t="n">
        <x:v>13</x:v>
      </x:c>
      <x:c r="I8" s="36" t="n">
        <x:v>83</x:v>
      </x:c>
    </x:row>
    <x:row r="9" ht="15" hidden="0" customHeight="1">
      <x:c r="A9" s="35" t="str">
        <x:v>No Positive Sales</x:v>
      </x:c>
      <x:c r="B9" s="36" t="n">
        <x:v>21</x:v>
      </x:c>
      <x:c r="C9" s="38" t="n">
        <x:v>0.006500000000000001</x:v>
      </x:c>
      <x:c r="D9" s="37" t="n">
        <x:v>0</x:v>
      </x:c>
      <x:c r="E9" s="37" t="n">
        <x:v>0</x:v>
      </x:c>
      <x:c r="F9" s="38" t="n">
        <x:v>0</x:v>
      </x:c>
      <x:c r="G9" s="38" t="n">
        <x:v>0</x:v>
      </x:c>
      <x:c r="H9" s="36"/>
      <x:c r="I9" s="36"/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e4b836cb36fe46a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20" hidden="0" customWidth="1"/>
    <x:col min="4" max="4" width="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 ht="32" customHeight="1">
      <x:c r="A1" s="3" t="str">
        <x:v>Revenue Quality &amp; Customer Profitability</x:v>
      </x:c>
    </x:row>
    <x:row r="2" ht="24" customHeight="1">
      <x:c r="A2" s="6" t="str">
        <x:v>Executive summary | Recognized-period analysis, 2018–2024</x:v>
      </x:c>
    </x:row>
    <x:row r="4">
      <x:c r="A4" s="15" t="str">
        <x:v>Portfolio KPI</x:v>
      </x:c>
      <x:c r="B4" s="15" t="str">
        <x:v>Validated result</x:v>
      </x:c>
      <x:c r="D4" s="18" t="str">
        <x:v>Executive conclusion</x:v>
      </x:c>
    </x:row>
    <x:row r="5">
      <x:c r="A5" s="17" t="str">
        <x:v>2018–2024 revenue growth</x:v>
      </x:c>
      <x:c r="B5" s="11" t="n">
        <x:f>'Annual Trend'!D11/'Annual Trend'!D5-1</x:f>
        <x:v>0.6500122091498262</x:v>
      </x:c>
      <x:c r="D5" s="22" t="str">
        <x:v>Growth is profitable and individual-customer dependency is low. The highest-value next moves are to protect the Independent Retail core, improve economics in large margin-light segments, and operationalize value-based retention outreach.</x:v>
      </x:c>
      <x:c r="E5" s="22"/>
      <x:c r="F5" s="22"/>
      <x:c r="G5" s="22"/>
      <x:c r="H5" s="22"/>
      <x:c r="I5" s="22"/>
      <x:c r="J5" s="22"/>
      <x:c r="K5" s="22"/>
      <x:c r="L5" s="22"/>
    </x:row>
    <x:row r="6">
      <x:c r="A6" s="17" t="str">
        <x:v>2018–2024 gross-profit growth</x:v>
      </x:c>
      <x:c r="B6" s="11" t="n">
        <x:f>'Annual Trend'!F11/'Annual Trend'!F5-1</x:f>
        <x:v>0.8963974196801217</x:v>
      </x:c>
      <x:c r="D6" s="22"/>
      <x:c r="E6" s="22"/>
      <x:c r="F6" s="22"/>
      <x:c r="G6" s="22"/>
      <x:c r="H6" s="22"/>
      <x:c r="I6" s="22"/>
      <x:c r="J6" s="22"/>
      <x:c r="K6" s="22"/>
      <x:c r="L6" s="22"/>
    </x:row>
    <x:row r="7">
      <x:c r="A7" s="17" t="str">
        <x:v>2024 gross margin</x:v>
      </x:c>
      <x:c r="B7" s="11" t="n">
        <x:f>'Annual Trend'!G11</x:f>
        <x:v>0.220135</x:v>
      </x:c>
      <x:c r="D7" s="22"/>
      <x:c r="E7" s="22"/>
      <x:c r="F7" s="22"/>
      <x:c r="G7" s="22"/>
      <x:c r="H7" s="22"/>
      <x:c r="I7" s="22"/>
      <x:c r="J7" s="22"/>
      <x:c r="K7" s="22"/>
      <x:c r="L7" s="22"/>
    </x:row>
    <x:row r="8">
      <x:c r="A8" s="17" t="str">
        <x:v>Largest segment revenue share</x:v>
      </x:c>
      <x:c r="B8" s="11" t="n">
        <x:f>'Segment Profitability'!I5</x:f>
        <x:v>0.48747799999999997</x:v>
      </x:c>
    </x:row>
    <x:row r="9">
      <x:c r="A9" s="17" t="str">
        <x:v>Largest customer revenue share</x:v>
      </x:c>
      <x:c r="B9" s="11" t="n">
        <x:f>'Concentration'!M5</x:f>
        <x:v>0.011305</x:v>
      </x:c>
      <x:c r="D9" s="24" t="str">
        <x:v>Prioritized actions</x:v>
      </x:c>
    </x:row>
    <x:row r="10" ht="36" customHeight="1">
      <x:c r="A10" s="17" t="str">
        <x:v>Customers needed for 80% of revenue</x:v>
      </x:c>
      <x:c r="B10" s="12" t="n">
        <x:f>'Concentration'!M9</x:f>
        <x:v>599</x:v>
      </x:c>
      <x:c r="D10" s="26" t="str">
        <x:v>1</x:v>
      </x:c>
      <x:c r="E10" s="28" t="str">
        <x:v>Protect Independent Retail while expanding high-margin segments</x:v>
      </x:c>
      <x:c r="F10" s="28"/>
      <x:c r="G10" s="28"/>
      <x:c r="H10" s="28"/>
      <x:c r="I10" s="28" t="str">
        <x:v>Defend the main profit pool and improve diversification</x:v>
      </x:c>
      <x:c r="J10" s="28"/>
      <x:c r="K10" s="28"/>
      <x:c r="L10" s="28"/>
    </x:row>
    <x:row r="11" ht="36" customHeight="1">
      <x:c r="A11" s="17" t="str">
        <x:v>Trailing revenue baseline at risk</x:v>
      </x:c>
      <x:c r="B11" s="13" t="n">
        <x:f>SUM('Retention Summary'!E6:E8)</x:f>
        <x:v>23046734.36</x:v>
      </x:c>
      <x:c r="D11" s="26" t="str">
        <x:v>2</x:v>
      </x:c>
      <x:c r="E11" s="28" t="str">
        <x:v>Launch a monthly value-based retention queue</x:v>
      </x:c>
      <x:c r="F11" s="28"/>
      <x:c r="G11" s="28"/>
      <x:c r="H11" s="28"/>
      <x:c r="I11" s="28" t="str">
        <x:v>Prioritize recent, high-value risk and measure reactivation</x:v>
      </x:c>
      <x:c r="J11" s="28"/>
      <x:c r="K11" s="28"/>
      <x:c r="L11" s="28"/>
    </x:row>
    <x:row r="12" ht="36" customHeight="1">
      <x:c r="A12" s="17" t="str">
        <x:v>Risk baseline as % of 2024 revenue</x:v>
      </x:c>
      <x:c r="B12" s="11" t="n">
        <x:f>B11/'Annual Trend'!D11</x:f>
        <x:v>0.1759610064925736</x:v>
      </x:c>
      <x:c r="D12" s="26" t="str">
        <x:v>3</x:v>
      </x:c>
      <x:c r="E12" s="28" t="str">
        <x:v>Review pricing and cost-to-serve in margin-light segments</x:v>
      </x:c>
      <x:c r="F12" s="28"/>
      <x:c r="G12" s="28"/>
      <x:c r="H12" s="28"/>
      <x:c r="I12" s="28" t="str">
        <x:v>Convert existing scale into incremental gross profit</x:v>
      </x:c>
      <x:c r="J12" s="28"/>
      <x:c r="K12" s="28"/>
      <x:c r="L12" s="28"/>
    </x:row>
  </x:sheetData>
  <x:mergeCells>
    <x:mergeCell ref="A1:L1"/>
    <x:mergeCell ref="A2:L2"/>
    <x:mergeCell ref="D4:L4"/>
    <x:mergeCell ref="D5:L7"/>
    <x:mergeCell ref="D9:L9"/>
    <x:mergeCell ref="E10:H10"/>
    <x:mergeCell ref="I10:L10"/>
    <x:mergeCell ref="E11:H11"/>
    <x:mergeCell ref="I11:L11"/>
    <x:mergeCell ref="E12:H12"/>
    <x:mergeCell ref="I12:L1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4" hidden="0" customWidth="1"/>
    <x:col min="3" max="3" width="15.25" hidden="0" customWidth="1"/>
    <x:col min="4" max="4" width="15.25" hidden="0" customWidth="1"/>
    <x:col min="5" max="5" width="13.75" hidden="0" customWidth="1"/>
    <x:col min="6" max="6" width="13.75" hidden="0" customWidth="1"/>
    <x:col min="7" max="7" width="15.880000114440918" hidden="0" customWidth="1"/>
    <x:col min="8" max="8" width="17.6299991607666" hidden="0" customWidth="1"/>
    <x:col min="9" max="9" width="16.1299991607666" hidden="0" customWidth="1"/>
    <x:col min="10" max="10" width="16.1299991607666" hidden="0" customWidth="1"/>
    <x:col min="11" max="11" width="18.1299991607666" hidden="0" customWidth="1"/>
    <x:col min="12" max="12" width="19.8799991607666" hidden="0" customWidth="1"/>
    <x:col min="13" max="13" width="20.6299991607666" hidden="0" customWidth="1"/>
    <x:col min="14" max="14" width="14.380000114440918" hidden="0" customWidth="1"/>
    <x:col min="15" max="15" width="14.380000114440918" hidden="0" customWidth="1"/>
  </x:cols>
  <x:sheetData>
    <x:row r="1" ht="32" customHeight="1">
      <x:c r="A1" s="3" t="str">
        <x:v>Segment Growth Contribution</x:v>
      </x:c>
    </x:row>
    <x:row r="2" ht="24" customHeight="1">
      <x:c r="A2" s="6" t="str">
        <x:v>Full-year 2018 compared with full-year 2024; blank rates indicate a zero base</x:v>
      </x:c>
    </x:row>
    <x:row r="4" ht="15" hidden="0" customHeight="1">
      <x:c r="A4" s="34" t="str">
        <x:v>Customer Class</x:v>
      </x:c>
      <x:c r="B4" s="34" t="str">
        <x:v>Customer Class Description</x:v>
      </x:c>
      <x:c r="C4" s="34" t="str">
        <x:v>Customers 2018</x:v>
      </x:c>
      <x:c r="D4" s="34" t="str">
        <x:v>Customers 2024</x:v>
      </x:c>
      <x:c r="E4" s="34" t="str">
        <x:v>Revenue 2018</x:v>
      </x:c>
      <x:c r="F4" s="34" t="str">
        <x:v>Revenue 2024</x:v>
      </x:c>
      <x:c r="G4" s="34" t="str">
        <x:v>Revenue Growth</x:v>
      </x:c>
      <x:c r="H4" s="34" t="str">
        <x:v>Revenue Growth %</x:v>
      </x:c>
      <x:c r="I4" s="34" t="str">
        <x:v>Gross Profit 2018</x:v>
      </x:c>
      <x:c r="J4" s="34" t="str">
        <x:v>Gross Profit 2024</x:v>
      </x:c>
      <x:c r="K4" s="34" t="str">
        <x:v>Gross Profit Growth</x:v>
      </x:c>
      <x:c r="L4" s="34" t="str">
        <x:v>Gross Profit Growth %</x:v>
      </x:c>
      <x:c r="M4" s="34" t="str">
        <x:v>Growth Contribution %</x:v>
      </x:c>
      <x:c r="N4" s="34" t="str">
        <x:v>Margin 2018 %</x:v>
      </x:c>
      <x:c r="O4" s="34" t="str">
        <x:v>Margin 2024 %</x:v>
      </x:c>
    </x:row>
    <x:row r="5" ht="15" hidden="0" customHeight="1">
      <x:c r="A5" s="35" t="str">
        <x:v>2</x:v>
      </x:c>
      <x:c r="B5" s="35" t="str">
        <x:v>Independent Retail Accounts</x:v>
      </x:c>
      <x:c r="C5" s="36" t="n">
        <x:v>864</x:v>
      </x:c>
      <x:c r="D5" s="36" t="n">
        <x:v>974</x:v>
      </x:c>
      <x:c r="E5" s="37" t="n">
        <x:v>38048584.68</x:v>
      </x:c>
      <x:c r="F5" s="37" t="n">
        <x:v>60254924.87</x:v>
      </x:c>
      <x:c r="G5" s="37" t="n">
        <x:v>22206340.19</x:v>
      </x:c>
      <x:c r="H5" s="38" t="n">
        <x:v>0.5836</x:v>
      </x:c>
      <x:c r="I5" s="37" t="n">
        <x:v>7818087.34</x:v>
      </x:c>
      <x:c r="J5" s="37" t="n">
        <x:v>13928265.29</x:v>
      </x:c>
      <x:c r="K5" s="37" t="n">
        <x:v>6110177.95</x:v>
      </x:c>
      <x:c r="L5" s="38" t="n">
        <x:v>0.7815000000000001</x:v>
      </x:c>
      <x:c r="M5" s="38" t="n">
        <x:v>0.4304</x:v>
      </x:c>
      <x:c r="N5" s="38" t="n">
        <x:v>0.20550000000000002</x:v>
      </x:c>
      <x:c r="O5" s="38" t="n">
        <x:v>0.23120000000000002</x:v>
      </x:c>
    </x:row>
    <x:row r="6" ht="15" hidden="0" customHeight="1">
      <x:c r="A6" s="35" t="str">
        <x:v>5</x:v>
      </x:c>
      <x:c r="B6" s="35" t="str">
        <x:v>Wholesale Trade Accounts</x:v>
      </x:c>
      <x:c r="C6" s="36" t="n">
        <x:v>211</x:v>
      </x:c>
      <x:c r="D6" s="36" t="n">
        <x:v>230</x:v>
      </x:c>
      <x:c r="E6" s="37" t="n">
        <x:v>11362849.37</x:v>
      </x:c>
      <x:c r="F6" s="37" t="n">
        <x:v>18583298.48</x:v>
      </x:c>
      <x:c r="G6" s="37" t="n">
        <x:v>7220449.11</x:v>
      </x:c>
      <x:c r="H6" s="38" t="n">
        <x:v>0.6354</x:v>
      </x:c>
      <x:c r="I6" s="37" t="n">
        <x:v>1956025.45</x:v>
      </x:c>
      <x:c r="J6" s="37" t="n">
        <x:v>3648137.46</x:v>
      </x:c>
      <x:c r="K6" s="37" t="n">
        <x:v>1692112.01</x:v>
      </x:c>
      <x:c r="L6" s="38" t="n">
        <x:v>0.8651000000000001</x:v>
      </x:c>
      <x:c r="M6" s="38" t="n">
        <x:v>0.1399</x:v>
      </x:c>
      <x:c r="N6" s="38" t="n">
        <x:v>0.1721</x:v>
      </x:c>
      <x:c r="O6" s="38" t="n">
        <x:v>0.1963</x:v>
      </x:c>
    </x:row>
    <x:row r="7" ht="15" hidden="0" customHeight="1">
      <x:c r="A7" s="35" t="str">
        <x:v>4</x:v>
      </x:c>
      <x:c r="B7" s="35" t="str">
        <x:v>Commercial Service Accounts</x:v>
      </x:c>
      <x:c r="C7" s="36" t="n">
        <x:v>250</x:v>
      </x:c>
      <x:c r="D7" s="36" t="n">
        <x:v>222</x:v>
      </x:c>
      <x:c r="E7" s="37" t="n">
        <x:v>5891826.21</x:v>
      </x:c>
      <x:c r="F7" s="37" t="n">
        <x:v>9270111.71</x:v>
      </x:c>
      <x:c r="G7" s="37" t="n">
        <x:v>3378285.49</x:v>
      </x:c>
      <x:c r="H7" s="38" t="n">
        <x:v>0.5734</x:v>
      </x:c>
      <x:c r="I7" s="37" t="n">
        <x:v>1228356.82</x:v>
      </x:c>
      <x:c r="J7" s="37" t="n">
        <x:v>1946319.92</x:v>
      </x:c>
      <x:c r="K7" s="37" t="n">
        <x:v>717963.1</x:v>
      </x:c>
      <x:c r="L7" s="38" t="n">
        <x:v>0.5845</x:v>
      </x:c>
      <x:c r="M7" s="38" t="n">
        <x:v>0.0655</x:v>
      </x:c>
      <x:c r="N7" s="38" t="n">
        <x:v>0.20850000000000002</x:v>
      </x:c>
      <x:c r="O7" s="38" t="n">
        <x:v>0.21</x:v>
      </x:c>
    </x:row>
    <x:row r="8" ht="15" hidden="0" customHeight="1">
      <x:c r="A8" s="35" t="str">
        <x:v>68</x:v>
      </x:c>
      <x:c r="B8" s="35" t="str">
        <x:v>Regional Multi-Unit Retail Chain</x:v>
      </x:c>
      <x:c r="C8" s="36" t="n">
        <x:v>0</x:v>
      </x:c>
      <x:c r="D8" s="36" t="n">
        <x:v>5</x:v>
      </x:c>
      <x:c r="E8" s="37" t="n">
        <x:v>0</x:v>
      </x:c>
      <x:c r="F8" s="37" t="n">
        <x:v>3198853.38</x:v>
      </x:c>
      <x:c r="G8" s="37" t="n">
        <x:v>3198853.38</x:v>
      </x:c>
      <x:c r="H8" s="38"/>
      <x:c r="I8" s="37" t="n">
        <x:v>0</x:v>
      </x:c>
      <x:c r="J8" s="37" t="n">
        <x:v>729451.95</x:v>
      </x:c>
      <x:c r="K8" s="37" t="n">
        <x:v>729451.95</x:v>
      </x:c>
      <x:c r="L8" s="38"/>
      <x:c r="M8" s="38" t="n">
        <x:v>0.062</x:v>
      </x:c>
      <x:c r="N8" s="38"/>
      <x:c r="O8" s="38" t="n">
        <x:v>0.228</x:v>
      </x:c>
    </x:row>
    <x:row r="9" ht="15" hidden="0" customHeight="1">
      <x:c r="A9" s="35" t="str">
        <x:v>8</x:v>
      </x:c>
      <x:c r="B9" s="35" t="str">
        <x:v>Regional Retail Chain - Tier 2</x:v>
      </x:c>
      <x:c r="C9" s="36" t="n">
        <x:v>13</x:v>
      </x:c>
      <x:c r="D9" s="36" t="n">
        <x:v>15</x:v>
      </x:c>
      <x:c r="E9" s="37" t="n">
        <x:v>2723165</x:v>
      </x:c>
      <x:c r="F9" s="37" t="n">
        <x:v>4907508.41</x:v>
      </x:c>
      <x:c r="G9" s="37" t="n">
        <x:v>2184343.41</x:v>
      </x:c>
      <x:c r="H9" s="38" t="n">
        <x:v>0.8020999999999999</x:v>
      </x:c>
      <x:c r="I9" s="37" t="n">
        <x:v>492342.82</x:v>
      </x:c>
      <x:c r="J9" s="37" t="n">
        <x:v>1028870.66</x:v>
      </x:c>
      <x:c r="K9" s="37" t="n">
        <x:v>536527.84</x:v>
      </x:c>
      <x:c r="L9" s="38" t="n">
        <x:v>1.0897</x:v>
      </x:c>
      <x:c r="M9" s="38" t="n">
        <x:v>0.042300000000000004</x:v>
      </x:c>
      <x:c r="N9" s="38" t="n">
        <x:v>0.1808</x:v>
      </x:c>
      <x:c r="O9" s="38" t="n">
        <x:v>0.2097</x:v>
      </x:c>
    </x:row>
    <x:row r="10" ht="15" hidden="0" customHeight="1">
      <x:c r="A10" s="35" t="str">
        <x:v>64</x:v>
      </x:c>
      <x:c r="B10" s="35" t="str">
        <x:v>Family-Owned Retail Business</x:v>
      </x:c>
      <x:c r="C10" s="36" t="n">
        <x:v>0</x:v>
      </x:c>
      <x:c r="D10" s="36" t="n">
        <x:v>5</x:v>
      </x:c>
      <x:c r="E10" s="37" t="n">
        <x:v>0</x:v>
      </x:c>
      <x:c r="F10" s="37" t="n">
        <x:v>2013495.98</x:v>
      </x:c>
      <x:c r="G10" s="37" t="n">
        <x:v>2013495.98</x:v>
      </x:c>
      <x:c r="H10" s="38"/>
      <x:c r="I10" s="37" t="n">
        <x:v>0</x:v>
      </x:c>
      <x:c r="J10" s="37" t="n">
        <x:v>416221.97</x:v>
      </x:c>
      <x:c r="K10" s="37" t="n">
        <x:v>416221.97</x:v>
      </x:c>
      <x:c r="L10" s="38"/>
      <x:c r="M10" s="38" t="n">
        <x:v>0.039</x:v>
      </x:c>
      <x:c r="N10" s="38"/>
      <x:c r="O10" s="38" t="n">
        <x:v>0.20670000000000002</x:v>
      </x:c>
    </x:row>
    <x:row r="11" ht="15" hidden="0" customHeight="1">
      <x:c r="A11" s="35" t="str">
        <x:v>54</x:v>
      </x:c>
      <x:c r="B11" s="35" t="str">
        <x:v>Retail Cooperative Network</x:v>
      </x:c>
      <x:c r="C11" s="36" t="n">
        <x:v>38</x:v>
      </x:c>
      <x:c r="D11" s="36" t="n">
        <x:v>86</x:v>
      </x:c>
      <x:c r="E11" s="37" t="n">
        <x:v>1610270.53</x:v>
      </x:c>
      <x:c r="F11" s="37" t="n">
        <x:v>3400613.2</x:v>
      </x:c>
      <x:c r="G11" s="37" t="n">
        <x:v>1790342.67</x:v>
      </x:c>
      <x:c r="H11" s="38" t="n">
        <x:v>1.1118000000000001</x:v>
      </x:c>
      <x:c r="I11" s="37" t="n">
        <x:v>322821.01</x:v>
      </x:c>
      <x:c r="J11" s="37" t="n">
        <x:v>863832.58</x:v>
      </x:c>
      <x:c r="K11" s="37" t="n">
        <x:v>541011.57</x:v>
      </x:c>
      <x:c r="L11" s="38" t="n">
        <x:v>1.6759</x:v>
      </x:c>
      <x:c r="M11" s="38" t="n">
        <x:v>0.0347</x:v>
      </x:c>
      <x:c r="N11" s="38" t="n">
        <x:v>0.2005</x:v>
      </x:c>
      <x:c r="O11" s="38" t="n">
        <x:v>0.254</x:v>
      </x:c>
    </x:row>
    <x:row r="12" ht="15" hidden="0" customHeight="1">
      <x:c r="A12" s="35" t="str">
        <x:v>26</x:v>
      </x:c>
      <x:c r="B12" s="35" t="str">
        <x:v>Suburban Retail Chain</x:v>
      </x:c>
      <x:c r="C12" s="36" t="n">
        <x:v>8</x:v>
      </x:c>
      <x:c r="D12" s="36" t="n">
        <x:v>9</x:v>
      </x:c>
      <x:c r="E12" s="37" t="n">
        <x:v>1467561.88</x:v>
      </x:c>
      <x:c r="F12" s="37" t="n">
        <x:v>2863841.55</x:v>
      </x:c>
      <x:c r="G12" s="37" t="n">
        <x:v>1396279.67</x:v>
      </x:c>
      <x:c r="H12" s="38" t="n">
        <x:v>0.9514</x:v>
      </x:c>
      <x:c r="I12" s="37" t="n">
        <x:v>276640.78</x:v>
      </x:c>
      <x:c r="J12" s="37" t="n">
        <x:v>672812.43</x:v>
      </x:c>
      <x:c r="K12" s="37" t="n">
        <x:v>396171.65</x:v>
      </x:c>
      <x:c r="L12" s="38" t="n">
        <x:v>1.4321000000000002</x:v>
      </x:c>
      <x:c r="M12" s="38" t="n">
        <x:v>0.0271</x:v>
      </x:c>
      <x:c r="N12" s="38" t="n">
        <x:v>0.1885</x:v>
      </x:c>
      <x:c r="O12" s="38" t="n">
        <x:v>0.2349</x:v>
      </x:c>
    </x:row>
    <x:row r="13" ht="15" hidden="0" customHeight="1">
      <x:c r="A13" s="35" t="str">
        <x:v>65</x:v>
      </x:c>
      <x:c r="B13" s="35" t="str">
        <x:v>Regional Specialty Retailer</x:v>
      </x:c>
      <x:c r="C13" s="36" t="n">
        <x:v>0</x:v>
      </x:c>
      <x:c r="D13" s="36" t="n">
        <x:v>5</x:v>
      </x:c>
      <x:c r="E13" s="37" t="n">
        <x:v>0</x:v>
      </x:c>
      <x:c r="F13" s="37" t="n">
        <x:v>1300723.78</x:v>
      </x:c>
      <x:c r="G13" s="37" t="n">
        <x:v>1300723.78</x:v>
      </x:c>
      <x:c r="H13" s="38"/>
      <x:c r="I13" s="37" t="n">
        <x:v>0</x:v>
      </x:c>
      <x:c r="J13" s="37" t="n">
        <x:v>325040.58</x:v>
      </x:c>
      <x:c r="K13" s="37" t="n">
        <x:v>325040.58</x:v>
      </x:c>
      <x:c r="L13" s="38"/>
      <x:c r="M13" s="38" t="n">
        <x:v>0.0252</x:v>
      </x:c>
      <x:c r="N13" s="38"/>
      <x:c r="O13" s="38" t="n">
        <x:v>0.24989999999999998</x:v>
      </x:c>
    </x:row>
    <x:row r="14" ht="15" hidden="0" customHeight="1">
      <x:c r="A14" s="35" t="str">
        <x:v>9</x:v>
      </x:c>
      <x:c r="B14" s="35" t="str">
        <x:v>Regional Retail Chain - Tier 3</x:v>
      </x:c>
      <x:c r="C14" s="36" t="n">
        <x:v>8</x:v>
      </x:c>
      <x:c r="D14" s="36" t="n">
        <x:v>11</x:v>
      </x:c>
      <x:c r="E14" s="37" t="n">
        <x:v>1477662.37</x:v>
      </x:c>
      <x:c r="F14" s="37" t="n">
        <x:v>2609975.32</x:v>
      </x:c>
      <x:c r="G14" s="37" t="n">
        <x:v>1132312.95</x:v>
      </x:c>
      <x:c r="H14" s="38" t="n">
        <x:v>0.7663</x:v>
      </x:c>
      <x:c r="I14" s="37" t="n">
        <x:v>244267.77</x:v>
      </x:c>
      <x:c r="J14" s="37" t="n">
        <x:v>583232.27</x:v>
      </x:c>
      <x:c r="K14" s="37" t="n">
        <x:v>338964.5</x:v>
      </x:c>
      <x:c r="L14" s="38" t="n">
        <x:v>1.3877000000000002</x:v>
      </x:c>
      <x:c r="M14" s="38" t="n">
        <x:v>0.0219</x:v>
      </x:c>
      <x:c r="N14" s="38" t="n">
        <x:v>0.1653</x:v>
      </x:c>
      <x:c r="O14" s="38" t="n">
        <x:v>0.2235</x:v>
      </x:c>
    </x:row>
    <x:row r="15" ht="15" hidden="0" customHeight="1">
      <x:c r="A15" s="35" t="str">
        <x:v>29</x:v>
      </x:c>
      <x:c r="B15" s="35" t="str">
        <x:v>Niche Specialty Retailer</x:v>
      </x:c>
      <x:c r="C15" s="36" t="n">
        <x:v>3</x:v>
      </x:c>
      <x:c r="D15" s="36" t="n">
        <x:v>4</x:v>
      </x:c>
      <x:c r="E15" s="37" t="n">
        <x:v>502965.92</x:v>
      </x:c>
      <x:c r="F15" s="37" t="n">
        <x:v>1443538.51</x:v>
      </x:c>
      <x:c r="G15" s="37" t="n">
        <x:v>940572.59</x:v>
      </x:c>
      <x:c r="H15" s="38" t="n">
        <x:v>1.8700999999999999</x:v>
      </x:c>
      <x:c r="I15" s="37" t="n">
        <x:v>71880.66</x:v>
      </x:c>
      <x:c r="J15" s="37" t="n">
        <x:v>197256.29</x:v>
      </x:c>
      <x:c r="K15" s="37" t="n">
        <x:v>125375.62</x:v>
      </x:c>
      <x:c r="L15" s="38" t="n">
        <x:v>1.7442</x:v>
      </x:c>
      <x:c r="M15" s="38" t="n">
        <x:v>0.0182</x:v>
      </x:c>
      <x:c r="N15" s="38" t="n">
        <x:v>0.1429</x:v>
      </x:c>
      <x:c r="O15" s="38" t="n">
        <x:v>0.1366</x:v>
      </x:c>
    </x:row>
    <x:row r="16" ht="15" hidden="0" customHeight="1">
      <x:c r="A16" s="35" t="str">
        <x:v>38</x:v>
      </x:c>
      <x:c r="B16" s="35" t="str">
        <x:v>Cooperative Retail Affiliate</x:v>
      </x:c>
      <x:c r="C16" s="36" t="n">
        <x:v>3</x:v>
      </x:c>
      <x:c r="D16" s="36" t="n">
        <x:v>4</x:v>
      </x:c>
      <x:c r="E16" s="37" t="n">
        <x:v>366603.03</x:v>
      </x:c>
      <x:c r="F16" s="37" t="n">
        <x:v>1193557.22</x:v>
      </x:c>
      <x:c r="G16" s="37" t="n">
        <x:v>826954.19</x:v>
      </x:c>
      <x:c r="H16" s="38" t="n">
        <x:v>2.2557</x:v>
      </x:c>
      <x:c r="I16" s="37" t="n">
        <x:v>57086.63</x:v>
      </x:c>
      <x:c r="J16" s="37" t="n">
        <x:v>203673.33</x:v>
      </x:c>
      <x:c r="K16" s="37" t="n">
        <x:v>146586.7</x:v>
      </x:c>
      <x:c r="L16" s="38" t="n">
        <x:v>2.5677999999999996</x:v>
      </x:c>
      <x:c r="M16" s="38" t="n">
        <x:v>0.016</x:v>
      </x:c>
      <x:c r="N16" s="38" t="n">
        <x:v>0.1557</x:v>
      </x:c>
      <x:c r="O16" s="38" t="n">
        <x:v>0.17059999999999997</x:v>
      </x:c>
    </x:row>
    <x:row r="17" ht="15" hidden="0" customHeight="1">
      <x:c r="A17" s="35" t="str">
        <x:v>33</x:v>
      </x:c>
      <x:c r="B17" s="35" t="str">
        <x:v>Regional Specialty Market</x:v>
      </x:c>
      <x:c r="C17" s="36" t="n">
        <x:v>10</x:v>
      </x:c>
      <x:c r="D17" s="36" t="n">
        <x:v>12</x:v>
      </x:c>
      <x:c r="E17" s="37" t="n">
        <x:v>295570.26</x:v>
      </x:c>
      <x:c r="F17" s="37" t="n">
        <x:v>1012531.8</x:v>
      </x:c>
      <x:c r="G17" s="37" t="n">
        <x:v>716961.55</x:v>
      </x:c>
      <x:c r="H17" s="38" t="n">
        <x:v>2.4257</x:v>
      </x:c>
      <x:c r="I17" s="37" t="n">
        <x:v>63904.81</x:v>
      </x:c>
      <x:c r="J17" s="37" t="n">
        <x:v>244139.15</x:v>
      </x:c>
      <x:c r="K17" s="37" t="n">
        <x:v>180234.34</x:v>
      </x:c>
      <x:c r="L17" s="38" t="n">
        <x:v>2.8204000000000002</x:v>
      </x:c>
      <x:c r="M17" s="38" t="n">
        <x:v>0.0139</x:v>
      </x:c>
      <x:c r="N17" s="38" t="n">
        <x:v>0.2162</x:v>
      </x:c>
      <x:c r="O17" s="38" t="n">
        <x:v>0.24109999999999998</x:v>
      </x:c>
    </x:row>
    <x:row r="18" ht="15" hidden="0" customHeight="1">
      <x:c r="A18" s="35" t="str">
        <x:v>21</x:v>
      </x:c>
      <x:c r="B18" s="35" t="str">
        <x:v>Discount Retail Chain</x:v>
      </x:c>
      <x:c r="C18" s="36" t="n">
        <x:v>5</x:v>
      </x:c>
      <x:c r="D18" s="36" t="n">
        <x:v>14</x:v>
      </x:c>
      <x:c r="E18" s="37" t="n">
        <x:v>264893.62</x:v>
      </x:c>
      <x:c r="F18" s="37" t="n">
        <x:v>948480.93</x:v>
      </x:c>
      <x:c r="G18" s="37" t="n">
        <x:v>683587.31</x:v>
      </x:c>
      <x:c r="H18" s="38" t="n">
        <x:v>2.5806</x:v>
      </x:c>
      <x:c r="I18" s="37" t="n">
        <x:v>56778.94</x:v>
      </x:c>
      <x:c r="J18" s="37" t="n">
        <x:v>242893.34</x:v>
      </x:c>
      <x:c r="K18" s="37" t="n">
        <x:v>186114.4</x:v>
      </x:c>
      <x:c r="L18" s="38" t="n">
        <x:v>3.2779000000000003</x:v>
      </x:c>
      <x:c r="M18" s="38" t="n">
        <x:v>0.0132</x:v>
      </x:c>
      <x:c r="N18" s="38" t="n">
        <x:v>0.2143</x:v>
      </x:c>
      <x:c r="O18" s="38" t="n">
        <x:v>0.2561</x:v>
      </x:c>
    </x:row>
    <x:row r="19" ht="15" hidden="0" customHeight="1">
      <x:c r="A19" s="35" t="str">
        <x:v>63</x:v>
      </x:c>
      <x:c r="B19" s="35" t="str">
        <x:v>Destination Retail Location</x:v>
      </x:c>
      <x:c r="C19" s="36" t="n">
        <x:v>0</x:v>
      </x:c>
      <x:c r="D19" s="36" t="n">
        <x:v>8</x:v>
      </x:c>
      <x:c r="E19" s="37" t="n">
        <x:v>0</x:v>
      </x:c>
      <x:c r="F19" s="37" t="n">
        <x:v>643472.44</x:v>
      </x:c>
      <x:c r="G19" s="37" t="n">
        <x:v>643472.44</x:v>
      </x:c>
      <x:c r="H19" s="38"/>
      <x:c r="I19" s="37" t="n">
        <x:v>0</x:v>
      </x:c>
      <x:c r="J19" s="37" t="n">
        <x:v>133258.91</x:v>
      </x:c>
      <x:c r="K19" s="37" t="n">
        <x:v>133258.91</x:v>
      </x:c>
      <x:c r="L19" s="38"/>
      <x:c r="M19" s="38" t="n">
        <x:v>0.0125</x:v>
      </x:c>
      <x:c r="N19" s="38"/>
      <x:c r="O19" s="38" t="n">
        <x:v>0.2071</x:v>
      </x:c>
    </x:row>
    <x:row r="20" ht="15" hidden="0" customHeight="1">
      <x:c r="A20" s="35" t="str">
        <x:v>18</x:v>
      </x:c>
      <x:c r="B20" s="35" t="str">
        <x:v>Multi-Location Retail Group - Premium Tier</x:v>
      </x:c>
      <x:c r="C20" s="36" t="n">
        <x:v>22</x:v>
      </x:c>
      <x:c r="D20" s="36" t="n">
        <x:v>33</x:v>
      </x:c>
      <x:c r="E20" s="37" t="n">
        <x:v>864737.25</x:v>
      </x:c>
      <x:c r="F20" s="37" t="n">
        <x:v>1490872.49</x:v>
      </x:c>
      <x:c r="G20" s="37" t="n">
        <x:v>626135.23</x:v>
      </x:c>
      <x:c r="H20" s="38" t="n">
        <x:v>0.7241</x:v>
      </x:c>
      <x:c r="I20" s="37" t="n">
        <x:v>172563.16</x:v>
      </x:c>
      <x:c r="J20" s="37" t="n">
        <x:v>352001.92</x:v>
      </x:c>
      <x:c r="K20" s="37" t="n">
        <x:v>179438.75</x:v>
      </x:c>
      <x:c r="L20" s="38" t="n">
        <x:v>1.0398</x:v>
      </x:c>
      <x:c r="M20" s="38" t="n">
        <x:v>0.0121</x:v>
      </x:c>
      <x:c r="N20" s="38" t="n">
        <x:v>0.1996</x:v>
      </x:c>
      <x:c r="O20" s="38" t="n">
        <x:v>0.2361</x:v>
      </x:c>
    </x:row>
    <x:row r="21" ht="15" hidden="0" customHeight="1">
      <x:c r="A21" s="35" t="str">
        <x:v>42</x:v>
      </x:c>
      <x:c r="B21" s="35" t="str">
        <x:v>Independent Distribution Partner</x:v>
      </x:c>
      <x:c r="C21" s="36" t="n">
        <x:v>9</x:v>
      </x:c>
      <x:c r="D21" s="36" t="n">
        <x:v>9</x:v>
      </x:c>
      <x:c r="E21" s="37" t="n">
        <x:v>388630.59</x:v>
      </x:c>
      <x:c r="F21" s="37" t="n">
        <x:v>992805.97</x:v>
      </x:c>
      <x:c r="G21" s="37" t="n">
        <x:v>604175.38</x:v>
      </x:c>
      <x:c r="H21" s="38" t="n">
        <x:v>1.5546</x:v>
      </x:c>
      <x:c r="I21" s="37" t="n">
        <x:v>93440.79</x:v>
      </x:c>
      <x:c r="J21" s="37" t="n">
        <x:v>245700.76</x:v>
      </x:c>
      <x:c r="K21" s="37" t="n">
        <x:v>152259.97</x:v>
      </x:c>
      <x:c r="L21" s="38" t="n">
        <x:v>1.6295</x:v>
      </x:c>
      <x:c r="M21" s="38" t="n">
        <x:v>0.011699999999999999</x:v>
      </x:c>
      <x:c r="N21" s="38" t="n">
        <x:v>0.2404</x:v>
      </x:c>
      <x:c r="O21" s="38" t="n">
        <x:v>0.2475</x:v>
      </x:c>
    </x:row>
    <x:row r="22" ht="15" hidden="0" customHeight="1">
      <x:c r="A22" s="35" t="str">
        <x:v>61</x:v>
      </x:c>
      <x:c r="B22" s="35" t="str">
        <x:v>Commercial Supply Vendor</x:v>
      </x:c>
      <x:c r="C22" s="36" t="n">
        <x:v>0</x:v>
      </x:c>
      <x:c r="D22" s="36" t="n">
        <x:v>1</x:v>
      </x:c>
      <x:c r="E22" s="37" t="n">
        <x:v>0</x:v>
      </x:c>
      <x:c r="F22" s="37" t="n">
        <x:v>581526.3</x:v>
      </x:c>
      <x:c r="G22" s="37" t="n">
        <x:v>581526.3</x:v>
      </x:c>
      <x:c r="H22" s="38"/>
      <x:c r="I22" s="37" t="n">
        <x:v>0</x:v>
      </x:c>
      <x:c r="J22" s="37" t="n">
        <x:v>87738.31</x:v>
      </x:c>
      <x:c r="K22" s="37" t="n">
        <x:v>87738.31</x:v>
      </x:c>
      <x:c r="L22" s="38"/>
      <x:c r="M22" s="38" t="n">
        <x:v>0.0113</x:v>
      </x:c>
      <x:c r="N22" s="38"/>
      <x:c r="O22" s="38" t="n">
        <x:v>0.1509</x:v>
      </x:c>
    </x:row>
    <x:row r="23" ht="15" hidden="0" customHeight="1">
      <x:c r="A23" s="35" t="str">
        <x:v>41</x:v>
      </x:c>
      <x:c r="B23" s="35" t="str">
        <x:v>Village Retail Operator</x:v>
      </x:c>
      <x:c r="C23" s="36" t="n">
        <x:v>0</x:v>
      </x:c>
      <x:c r="D23" s="36" t="n">
        <x:v>13</x:v>
      </x:c>
      <x:c r="E23" s="37" t="n">
        <x:v>0</x:v>
      </x:c>
      <x:c r="F23" s="37" t="n">
        <x:v>535515.33</x:v>
      </x:c>
      <x:c r="G23" s="37" t="n">
        <x:v>535515.33</x:v>
      </x:c>
      <x:c r="H23" s="38"/>
      <x:c r="I23" s="37" t="n">
        <x:v>0</x:v>
      </x:c>
      <x:c r="J23" s="37" t="n">
        <x:v>123863.27</x:v>
      </x:c>
      <x:c r="K23" s="37" t="n">
        <x:v>123863.27</x:v>
      </x:c>
      <x:c r="L23" s="38"/>
      <x:c r="M23" s="38" t="n">
        <x:v>0.0104</x:v>
      </x:c>
      <x:c r="N23" s="38"/>
      <x:c r="O23" s="38" t="n">
        <x:v>0.23129999999999998</x:v>
      </x:c>
    </x:row>
    <x:row r="24" ht="15" hidden="0" customHeight="1">
      <x:c r="A24" s="35" t="str">
        <x:v>55</x:v>
      </x:c>
      <x:c r="B24" s="35" t="str">
        <x:v>Large Regional Retail Chain</x:v>
      </x:c>
      <x:c r="C24" s="36" t="n">
        <x:v>0</x:v>
      </x:c>
      <x:c r="D24" s="36" t="n">
        <x:v>12</x:v>
      </x:c>
      <x:c r="E24" s="37" t="n">
        <x:v>0</x:v>
      </x:c>
      <x:c r="F24" s="37" t="n">
        <x:v>514690.39</x:v>
      </x:c>
      <x:c r="G24" s="37" t="n">
        <x:v>514690.39</x:v>
      </x:c>
      <x:c r="H24" s="38"/>
      <x:c r="I24" s="37" t="n">
        <x:v>0</x:v>
      </x:c>
      <x:c r="J24" s="37" t="n">
        <x:v>123524.69</x:v>
      </x:c>
      <x:c r="K24" s="37" t="n">
        <x:v>123524.69</x:v>
      </x:c>
      <x:c r="L24" s="38"/>
      <x:c r="M24" s="38" t="n">
        <x:v>0.01</x:v>
      </x:c>
      <x:c r="N24" s="38"/>
      <x:c r="O24" s="38" t="n">
        <x:v>0.24</x:v>
      </x:c>
    </x:row>
    <x:row r="25" ht="15" hidden="0" customHeight="1">
      <x:c r="A25" s="35" t="str">
        <x:v>27</x:v>
      </x:c>
      <x:c r="B25" s="35" t="str">
        <x:v>Urban Independent Retailer</x:v>
      </x:c>
      <x:c r="C25" s="36" t="n">
        <x:v>5</x:v>
      </x:c>
      <x:c r="D25" s="36" t="n">
        <x:v>6</x:v>
      </x:c>
      <x:c r="E25" s="37" t="n">
        <x:v>197658.32</x:v>
      </x:c>
      <x:c r="F25" s="37" t="n">
        <x:v>703665.48</x:v>
      </x:c>
      <x:c r="G25" s="37" t="n">
        <x:v>506007.16</x:v>
      </x:c>
      <x:c r="H25" s="38" t="n">
        <x:v>2.56</x:v>
      </x:c>
      <x:c r="I25" s="37" t="n">
        <x:v>33984.02</x:v>
      </x:c>
      <x:c r="J25" s="37" t="n">
        <x:v>118842.21</x:v>
      </x:c>
      <x:c r="K25" s="37" t="n">
        <x:v>84858.19</x:v>
      </x:c>
      <x:c r="L25" s="38" t="n">
        <x:v>2.497</x:v>
      </x:c>
      <x:c r="M25" s="38" t="n">
        <x:v>0.0098</x:v>
      </x:c>
      <x:c r="N25" s="38" t="n">
        <x:v>0.17190000000000003</x:v>
      </x:c>
      <x:c r="O25" s="38" t="n">
        <x:v>0.1689</x:v>
      </x:c>
    </x:row>
    <x:row r="26" ht="15" hidden="0" customHeight="1">
      <x:c r="A26" s="35" t="str">
        <x:v>43</x:v>
      </x:c>
      <x:c r="B26" s="35" t="str">
        <x:v>Event &amp; Promotional Accounts</x:v>
      </x:c>
      <x:c r="C26" s="36" t="n">
        <x:v>0</x:v>
      </x:c>
      <x:c r="D26" s="36" t="n">
        <x:v>8</x:v>
      </x:c>
      <x:c r="E26" s="37" t="n">
        <x:v>0</x:v>
      </x:c>
      <x:c r="F26" s="37" t="n">
        <x:v>468403.45</x:v>
      </x:c>
      <x:c r="G26" s="37" t="n">
        <x:v>468403.45</x:v>
      </x:c>
      <x:c r="H26" s="38"/>
      <x:c r="I26" s="37" t="n">
        <x:v>0</x:v>
      </x:c>
      <x:c r="J26" s="37" t="n">
        <x:v>101453.29</x:v>
      </x:c>
      <x:c r="K26" s="37" t="n">
        <x:v>101453.29</x:v>
      </x:c>
      <x:c r="L26" s="38"/>
      <x:c r="M26" s="38" t="n">
        <x:v>0.0091</x:v>
      </x:c>
      <x:c r="N26" s="38"/>
      <x:c r="O26" s="38" t="n">
        <x:v>0.21660000000000001</x:v>
      </x:c>
    </x:row>
    <x:row r="27" ht="15" hidden="0" customHeight="1">
      <x:c r="A27" s="35" t="str">
        <x:v>56</x:v>
      </x:c>
      <x:c r="B27" s="35" t="str">
        <x:v>National Retail Affiliate</x:v>
      </x:c>
      <x:c r="C27" s="36" t="n">
        <x:v>0</x:v>
      </x:c>
      <x:c r="D27" s="36" t="n">
        <x:v>8</x:v>
      </x:c>
      <x:c r="E27" s="37" t="n">
        <x:v>0</x:v>
      </x:c>
      <x:c r="F27" s="37" t="n">
        <x:v>306682.37</x:v>
      </x:c>
      <x:c r="G27" s="37" t="n">
        <x:v>306682.37</x:v>
      </x:c>
      <x:c r="H27" s="38"/>
      <x:c r="I27" s="37" t="n">
        <x:v>0</x:v>
      </x:c>
      <x:c r="J27" s="37" t="n">
        <x:v>79211.15</x:v>
      </x:c>
      <x:c r="K27" s="37" t="n">
        <x:v>79211.15</x:v>
      </x:c>
      <x:c r="L27" s="38"/>
      <x:c r="M27" s="38" t="n">
        <x:v>0.0059</x:v>
      </x:c>
      <x:c r="N27" s="38"/>
      <x:c r="O27" s="38" t="n">
        <x:v>0.2583</x:v>
      </x:c>
    </x:row>
    <x:row r="28" ht="15" hidden="0" customHeight="1">
      <x:c r="A28" s="35" t="str">
        <x:v>48</x:v>
      </x:c>
      <x:c r="B28" s="35" t="str">
        <x:v>Specialty Beverage Retailer</x:v>
      </x:c>
      <x:c r="C28" s="36" t="n">
        <x:v>0</x:v>
      </x:c>
      <x:c r="D28" s="36" t="n">
        <x:v>12</x:v>
      </x:c>
      <x:c r="E28" s="37" t="n">
        <x:v>0</x:v>
      </x:c>
      <x:c r="F28" s="37" t="n">
        <x:v>285192.75</x:v>
      </x:c>
      <x:c r="G28" s="37" t="n">
        <x:v>285192.75</x:v>
      </x:c>
      <x:c r="H28" s="38"/>
      <x:c r="I28" s="37" t="n">
        <x:v>0</x:v>
      </x:c>
      <x:c r="J28" s="37" t="n">
        <x:v>72794.24</x:v>
      </x:c>
      <x:c r="K28" s="37" t="n">
        <x:v>72794.24</x:v>
      </x:c>
      <x:c r="L28" s="38"/>
      <x:c r="M28" s="38" t="n">
        <x:v>0.0055000000000000005</x:v>
      </x:c>
      <x:c r="N28" s="38"/>
      <x:c r="O28" s="38" t="n">
        <x:v>0.2552</x:v>
      </x:c>
    </x:row>
    <x:row r="29" ht="15" hidden="0" customHeight="1">
      <x:c r="A29" s="35" t="str">
        <x:v>23</x:v>
      </x:c>
      <x:c r="B29" s="35" t="str">
        <x:v>Value-Oriented Retail Chain</x:v>
      </x:c>
      <x:c r="C29" s="36" t="n">
        <x:v>17</x:v>
      </x:c>
      <x:c r="D29" s="36" t="n">
        <x:v>22</x:v>
      </x:c>
      <x:c r="E29" s="37" t="n">
        <x:v>168063.55</x:v>
      </x:c>
      <x:c r="F29" s="37" t="n">
        <x:v>449340.29</x:v>
      </x:c>
      <x:c r="G29" s="37" t="n">
        <x:v>281276.74</x:v>
      </x:c>
      <x:c r="H29" s="38" t="n">
        <x:v>1.6736000000000002</x:v>
      </x:c>
      <x:c r="I29" s="37" t="n">
        <x:v>41568.08</x:v>
      </x:c>
      <x:c r="J29" s="37" t="n">
        <x:v>91097.22</x:v>
      </x:c>
      <x:c r="K29" s="37" t="n">
        <x:v>49529.14</x:v>
      </x:c>
      <x:c r="L29" s="38" t="n">
        <x:v>1.1915</x:v>
      </x:c>
      <x:c r="M29" s="38" t="n">
        <x:v>0.0055000000000000005</x:v>
      </x:c>
      <x:c r="N29" s="38" t="n">
        <x:v>0.2473</x:v>
      </x:c>
      <x:c r="O29" s="38" t="n">
        <x:v>0.2027</x:v>
      </x:c>
    </x:row>
    <x:row r="30" ht="15" hidden="0" customHeight="1">
      <x:c r="A30" s="35" t="str">
        <x:v>46</x:v>
      </x:c>
      <x:c r="B30" s="35" t="str">
        <x:v>Regional Retail Affiliate</x:v>
      </x:c>
      <x:c r="C30" s="36" t="n">
        <x:v>1</x:v>
      </x:c>
      <x:c r="D30" s="36" t="n">
        <x:v>1</x:v>
      </x:c>
      <x:c r="E30" s="37" t="n">
        <x:v>59768.1</x:v>
      </x:c>
      <x:c r="F30" s="37" t="n">
        <x:v>327961.81</x:v>
      </x:c>
      <x:c r="G30" s="37" t="n">
        <x:v>268193.71</x:v>
      </x:c>
      <x:c r="H30" s="38" t="n">
        <x:v>4.4872000000000005</x:v>
      </x:c>
      <x:c r="I30" s="37" t="n">
        <x:v>14448.15</x:v>
      </x:c>
      <x:c r="J30" s="37" t="n">
        <x:v>77192.39</x:v>
      </x:c>
      <x:c r="K30" s="37" t="n">
        <x:v>62744.23</x:v>
      </x:c>
      <x:c r="L30" s="38" t="n">
        <x:v>4.3427</x:v>
      </x:c>
      <x:c r="M30" s="38" t="n">
        <x:v>0.0052</x:v>
      </x:c>
      <x:c r="N30" s="38" t="n">
        <x:v>0.24170000000000003</x:v>
      </x:c>
      <x:c r="O30" s="38" t="n">
        <x:v>0.2354</x:v>
      </x:c>
    </x:row>
    <x:row r="31" ht="15" hidden="0" customHeight="1">
      <x:c r="A31" s="35" t="str">
        <x:v>35</x:v>
      </x:c>
      <x:c r="B31" s="35" t="str">
        <x:v>Regional Multi-Unit Operator</x:v>
      </x:c>
      <x:c r="C31" s="36" t="n">
        <x:v>13</x:v>
      </x:c>
      <x:c r="D31" s="36" t="n">
        <x:v>15</x:v>
      </x:c>
      <x:c r="E31" s="37" t="n">
        <x:v>89673.98</x:v>
      </x:c>
      <x:c r="F31" s="37" t="n">
        <x:v>309976.13</x:v>
      </x:c>
      <x:c r="G31" s="37" t="n">
        <x:v>220302.15</x:v>
      </x:c>
      <x:c r="H31" s="38" t="n">
        <x:v>2.4566999999999997</x:v>
      </x:c>
      <x:c r="I31" s="37" t="n">
        <x:v>13782.75</x:v>
      </x:c>
      <x:c r="J31" s="37" t="n">
        <x:v>64808.24</x:v>
      </x:c>
      <x:c r="K31" s="37" t="n">
        <x:v>51025.49</x:v>
      </x:c>
      <x:c r="L31" s="38" t="n">
        <x:v>3.7020999999999997</x:v>
      </x:c>
      <x:c r="M31" s="38" t="n">
        <x:v>0.0043</x:v>
      </x:c>
      <x:c r="N31" s="38" t="n">
        <x:v>0.1537</x:v>
      </x:c>
      <x:c r="O31" s="38" t="n">
        <x:v>0.2091</x:v>
      </x:c>
    </x:row>
    <x:row r="32" ht="15" hidden="0" customHeight="1">
      <x:c r="A32" s="35" t="str">
        <x:v>59</x:v>
      </x:c>
      <x:c r="B32" s="35" t="str">
        <x:v>Import Marketplace Partner</x:v>
      </x:c>
      <x:c r="C32" s="36" t="n">
        <x:v>0</x:v>
      </x:c>
      <x:c r="D32" s="36" t="n">
        <x:v>1</x:v>
      </x:c>
      <x:c r="E32" s="37" t="n">
        <x:v>0</x:v>
      </x:c>
      <x:c r="F32" s="37" t="n">
        <x:v>211501.37</x:v>
      </x:c>
      <x:c r="G32" s="37" t="n">
        <x:v>211501.37</x:v>
      </x:c>
      <x:c r="H32" s="38"/>
      <x:c r="I32" s="37" t="n">
        <x:v>0</x:v>
      </x:c>
      <x:c r="J32" s="37" t="n">
        <x:v>45406.4</x:v>
      </x:c>
      <x:c r="K32" s="37" t="n">
        <x:v>45406.4</x:v>
      </x:c>
      <x:c r="L32" s="38"/>
      <x:c r="M32" s="38" t="n">
        <x:v>0.0040999999999999995</x:v>
      </x:c>
      <x:c r="N32" s="38"/>
      <x:c r="O32" s="38" t="n">
        <x:v>0.2147</x:v>
      </x:c>
    </x:row>
    <x:row r="33" ht="15" hidden="0" customHeight="1">
      <x:c r="A33" s="35" t="str">
        <x:v>53</x:v>
      </x:c>
      <x:c r="B33" s="35" t="str">
        <x:v>Wine &amp; Spirits Retailer</x:v>
      </x:c>
      <x:c r="C33" s="36" t="n">
        <x:v>0</x:v>
      </x:c>
      <x:c r="D33" s="36" t="n">
        <x:v>4</x:v>
      </x:c>
      <x:c r="E33" s="37" t="n">
        <x:v>0</x:v>
      </x:c>
      <x:c r="F33" s="37" t="n">
        <x:v>186898.08</x:v>
      </x:c>
      <x:c r="G33" s="37" t="n">
        <x:v>186898.08</x:v>
      </x:c>
      <x:c r="H33" s="38"/>
      <x:c r="I33" s="37" t="n">
        <x:v>0</x:v>
      </x:c>
      <x:c r="J33" s="37" t="n">
        <x:v>54457.91</x:v>
      </x:c>
      <x:c r="K33" s="37" t="n">
        <x:v>54457.91</x:v>
      </x:c>
      <x:c r="L33" s="38"/>
      <x:c r="M33" s="38" t="n">
        <x:v>0.0036</x:v>
      </x:c>
      <x:c r="N33" s="38"/>
      <x:c r="O33" s="38" t="n">
        <x:v>0.2914</x:v>
      </x:c>
    </x:row>
    <x:row r="34" ht="15" hidden="0" customHeight="1">
      <x:c r="A34" s="35" t="str">
        <x:v>40</x:v>
      </x:c>
      <x:c r="B34" s="35" t="str">
        <x:v>Suburban Independent Retailer</x:v>
      </x:c>
      <x:c r="C34" s="36" t="n">
        <x:v>4</x:v>
      </x:c>
      <x:c r="D34" s="36" t="n">
        <x:v>4</x:v>
      </x:c>
      <x:c r="E34" s="37" t="n">
        <x:v>178180.02</x:v>
      </x:c>
      <x:c r="F34" s="37" t="n">
        <x:v>350481.22</x:v>
      </x:c>
      <x:c r="G34" s="37" t="n">
        <x:v>172301.2</x:v>
      </x:c>
      <x:c r="H34" s="38" t="n">
        <x:v>0.9670000000000001</x:v>
      </x:c>
      <x:c r="I34" s="37" t="n">
        <x:v>31024.04</x:v>
      </x:c>
      <x:c r="J34" s="37" t="n">
        <x:v>79562.25</x:v>
      </x:c>
      <x:c r="K34" s="37" t="n">
        <x:v>48538.21</x:v>
      </x:c>
      <x:c r="L34" s="38" t="n">
        <x:v>1.5644999999999998</x:v>
      </x:c>
      <x:c r="M34" s="38" t="n">
        <x:v>0.0033</x:v>
      </x:c>
      <x:c r="N34" s="38" t="n">
        <x:v>0.1741</x:v>
      </x:c>
      <x:c r="O34" s="38" t="n">
        <x:v>0.22699999999999998</x:v>
      </x:c>
    </x:row>
    <x:row r="35" ht="15" hidden="0" customHeight="1">
      <x:c r="A35" s="35" t="str">
        <x:v>62</x:v>
      </x:c>
      <x:c r="B35" s="35" t="str">
        <x:v>Convenience Retail Group</x:v>
      </x:c>
      <x:c r="C35" s="36" t="n">
        <x:v>0</x:v>
      </x:c>
      <x:c r="D35" s="36" t="n">
        <x:v>4</x:v>
      </x:c>
      <x:c r="E35" s="37" t="n">
        <x:v>0</x:v>
      </x:c>
      <x:c r="F35" s="37" t="n">
        <x:v>161958.9</x:v>
      </x:c>
      <x:c r="G35" s="37" t="n">
        <x:v>161958.9</x:v>
      </x:c>
      <x:c r="H35" s="38"/>
      <x:c r="I35" s="37" t="n">
        <x:v>0</x:v>
      </x:c>
      <x:c r="J35" s="37" t="n">
        <x:v>44538.16</x:v>
      </x:c>
      <x:c r="K35" s="37" t="n">
        <x:v>44538.16</x:v>
      </x:c>
      <x:c r="L35" s="38"/>
      <x:c r="M35" s="38" t="n">
        <x:v>0.0031</x:v>
      </x:c>
      <x:c r="N35" s="38"/>
      <x:c r="O35" s="38" t="n">
        <x:v>0.275</x:v>
      </x:c>
    </x:row>
    <x:row r="36" ht="15" hidden="0" customHeight="1">
      <x:c r="A36" s="35" t="str">
        <x:v>19</x:v>
      </x:c>
      <x:c r="B36" s="35" t="str">
        <x:v>Neighborhood Retail Group</x:v>
      </x:c>
      <x:c r="C36" s="36" t="n">
        <x:v>1</x:v>
      </x:c>
      <x:c r="D36" s="36" t="n">
        <x:v>11</x:v>
      </x:c>
      <x:c r="E36" s="37" t="n">
        <x:v>447516.14</x:v>
      </x:c>
      <x:c r="F36" s="37" t="n">
        <x:v>593363.26</x:v>
      </x:c>
      <x:c r="G36" s="37" t="n">
        <x:v>145847.12</x:v>
      </x:c>
      <x:c r="H36" s="38" t="n">
        <x:v>0.3259</x:v>
      </x:c>
      <x:c r="I36" s="37" t="n">
        <x:v>62660.22</x:v>
      </x:c>
      <x:c r="J36" s="37" t="n">
        <x:v>82384.81</x:v>
      </x:c>
      <x:c r="K36" s="37" t="n">
        <x:v>19724.59</x:v>
      </x:c>
      <x:c r="L36" s="38" t="n">
        <x:v>0.3148</x:v>
      </x:c>
      <x:c r="M36" s="38" t="n">
        <x:v>0.0028000000000000004</x:v>
      </x:c>
      <x:c r="N36" s="38" t="n">
        <x:v>0.14</x:v>
      </x:c>
      <x:c r="O36" s="38" t="n">
        <x:v>0.1388</x:v>
      </x:c>
    </x:row>
    <x:row r="37" ht="15" hidden="0" customHeight="1">
      <x:c r="A37" s="35" t="str">
        <x:v>57</x:v>
      </x:c>
      <x:c r="B37" s="35" t="str">
        <x:v>National Retail Affiliate - Secondary</x:v>
      </x:c>
      <x:c r="C37" s="36" t="n">
        <x:v>0</x:v>
      </x:c>
      <x:c r="D37" s="36" t="n">
        <x:v>4</x:v>
      </x:c>
      <x:c r="E37" s="37" t="n">
        <x:v>0</x:v>
      </x:c>
      <x:c r="F37" s="37" t="n">
        <x:v>143140.25</x:v>
      </x:c>
      <x:c r="G37" s="37" t="n">
        <x:v>143140.25</x:v>
      </x:c>
      <x:c r="H37" s="38"/>
      <x:c r="I37" s="37" t="n">
        <x:v>0</x:v>
      </x:c>
      <x:c r="J37" s="37" t="n">
        <x:v>33131.95</x:v>
      </x:c>
      <x:c r="K37" s="37" t="n">
        <x:v>33131.95</x:v>
      </x:c>
      <x:c r="L37" s="38"/>
      <x:c r="M37" s="38" t="n">
        <x:v>0.0028000000000000004</x:v>
      </x:c>
      <x:c r="N37" s="38"/>
      <x:c r="O37" s="38" t="n">
        <x:v>0.23149999999999998</x:v>
      </x:c>
    </x:row>
    <x:row r="38" ht="15" hidden="0" customHeight="1">
      <x:c r="A38" s="35" t="str">
        <x:v>45</x:v>
      </x:c>
      <x:c r="B38" s="35" t="str">
        <x:v>Boutique Retail Operator</x:v>
      </x:c>
      <x:c r="C38" s="36" t="n">
        <x:v>0</x:v>
      </x:c>
      <x:c r="D38" s="36" t="n">
        <x:v>2</x:v>
      </x:c>
      <x:c r="E38" s="37" t="n">
        <x:v>0</x:v>
      </x:c>
      <x:c r="F38" s="37" t="n">
        <x:v>121962.5</x:v>
      </x:c>
      <x:c r="G38" s="37" t="n">
        <x:v>121962.5</x:v>
      </x:c>
      <x:c r="H38" s="38"/>
      <x:c r="I38" s="37" t="n">
        <x:v>0</x:v>
      </x:c>
      <x:c r="J38" s="37" t="n">
        <x:v>28104.87</x:v>
      </x:c>
      <x:c r="K38" s="37" t="n">
        <x:v>28104.87</x:v>
      </x:c>
      <x:c r="L38" s="38"/>
      <x:c r="M38" s="38" t="n">
        <x:v>0.0024</x:v>
      </x:c>
      <x:c r="N38" s="38"/>
      <x:c r="O38" s="38" t="n">
        <x:v>0.2304</x:v>
      </x:c>
    </x:row>
    <x:row r="39" ht="15" hidden="0" customHeight="1">
      <x:c r="A39" s="35" t="str">
        <x:v>30</x:v>
      </x:c>
      <x:c r="B39" s="35" t="str">
        <x:v>International Retail Chain</x:v>
      </x:c>
      <x:c r="C39" s="36" t="n">
        <x:v>2</x:v>
      </x:c>
      <x:c r="D39" s="36" t="n">
        <x:v>2</x:v>
      </x:c>
      <x:c r="E39" s="37" t="n">
        <x:v>450468.05</x:v>
      </x:c>
      <x:c r="F39" s="37" t="n">
        <x:v>565024.11</x:v>
      </x:c>
      <x:c r="G39" s="37" t="n">
        <x:v>114556.07</x:v>
      </x:c>
      <x:c r="H39" s="38" t="n">
        <x:v>0.25429999999999997</x:v>
      </x:c>
      <x:c r="I39" s="37" t="n">
        <x:v>65613.77</x:v>
      </x:c>
      <x:c r="J39" s="37" t="n">
        <x:v>93421.74</x:v>
      </x:c>
      <x:c r="K39" s="37" t="n">
        <x:v>27807.97</x:v>
      </x:c>
      <x:c r="L39" s="38" t="n">
        <x:v>0.4238</x:v>
      </x:c>
      <x:c r="M39" s="38" t="n">
        <x:v>0.0022</x:v>
      </x:c>
      <x:c r="N39" s="38" t="n">
        <x:v>0.1457</x:v>
      </x:c>
      <x:c r="O39" s="38" t="n">
        <x:v>0.1653</x:v>
      </x:c>
    </x:row>
    <x:row r="40" ht="15" hidden="0" customHeight="1">
      <x:c r="A40" s="35" t="str">
        <x:v>50</x:v>
      </x:c>
      <x:c r="B40" s="35" t="str">
        <x:v>Farm &amp; Specialty Market</x:v>
      </x:c>
      <x:c r="C40" s="36" t="n">
        <x:v>1</x:v>
      </x:c>
      <x:c r="D40" s="36" t="n">
        <x:v>1</x:v>
      </x:c>
      <x:c r="E40" s="37" t="n">
        <x:v>130582.59</x:v>
      </x:c>
      <x:c r="F40" s="37" t="n">
        <x:v>201571.41</x:v>
      </x:c>
      <x:c r="G40" s="37" t="n">
        <x:v>70988.82</x:v>
      </x:c>
      <x:c r="H40" s="38" t="n">
        <x:v>0.5436</x:v>
      </x:c>
      <x:c r="I40" s="37" t="n">
        <x:v>17217.77</x:v>
      </x:c>
      <x:c r="J40" s="37" t="n">
        <x:v>38118.52</x:v>
      </x:c>
      <x:c r="K40" s="37" t="n">
        <x:v>20900.75</x:v>
      </x:c>
      <x:c r="L40" s="38" t="n">
        <x:v>1.2139</x:v>
      </x:c>
      <x:c r="M40" s="38" t="n">
        <x:v>0.0014000000000000002</x:v>
      </x:c>
      <x:c r="N40" s="38" t="n">
        <x:v>0.1319</x:v>
      </x:c>
      <x:c r="O40" s="38" t="n">
        <x:v>0.1891</x:v>
      </x:c>
    </x:row>
    <x:row r="41" ht="15" hidden="0" customHeight="1">
      <x:c r="A41" s="35" t="str">
        <x:v>22</x:v>
      </x:c>
      <x:c r="B41" s="35" t="str">
        <x:v>Institutional Buyer</x:v>
      </x:c>
      <x:c r="C41" s="36" t="n">
        <x:v>2</x:v>
      </x:c>
      <x:c r="D41" s="36" t="n">
        <x:v>4</x:v>
      </x:c>
      <x:c r="E41" s="37" t="n">
        <x:v>38037.8</x:v>
      </x:c>
      <x:c r="F41" s="37" t="n">
        <x:v>93680.74</x:v>
      </x:c>
      <x:c r="G41" s="37" t="n">
        <x:v>55642.94</x:v>
      </x:c>
      <x:c r="H41" s="38" t="n">
        <x:v>1.4628</x:v>
      </x:c>
      <x:c r="I41" s="37" t="n">
        <x:v>6803.42</x:v>
      </x:c>
      <x:c r="J41" s="37" t="n">
        <x:v>22605.33</x:v>
      </x:c>
      <x:c r="K41" s="37" t="n">
        <x:v>15801.91</x:v>
      </x:c>
      <x:c r="L41" s="38" t="n">
        <x:v>2.3226</x:v>
      </x:c>
      <x:c r="M41" s="38" t="n">
        <x:v>0.0011</x:v>
      </x:c>
      <x:c r="N41" s="38" t="n">
        <x:v>0.1789</x:v>
      </x:c>
      <x:c r="O41" s="38" t="n">
        <x:v>0.2413</x:v>
      </x:c>
    </x:row>
    <x:row r="42" ht="15" hidden="0" customHeight="1">
      <x:c r="A42" s="35" t="str">
        <x:v>51</x:v>
      </x:c>
      <x:c r="B42" s="35" t="str">
        <x:v>Franchise Retail Member</x:v>
      </x:c>
      <x:c r="C42" s="36" t="n">
        <x:v>3</x:v>
      </x:c>
      <x:c r="D42" s="36" t="n">
        <x:v>3</x:v>
      </x:c>
      <x:c r="E42" s="37" t="n">
        <x:v>43394.75</x:v>
      </x:c>
      <x:c r="F42" s="37" t="n">
        <x:v>95319.1</x:v>
      </x:c>
      <x:c r="G42" s="37" t="n">
        <x:v>51924.36</x:v>
      </x:c>
      <x:c r="H42" s="38" t="n">
        <x:v>1.1965999999999999</x:v>
      </x:c>
      <x:c r="I42" s="37" t="n">
        <x:v>6767.29</x:v>
      </x:c>
      <x:c r="J42" s="37" t="n">
        <x:v>21065.41</x:v>
      </x:c>
      <x:c r="K42" s="37" t="n">
        <x:v>14298.13</x:v>
      </x:c>
      <x:c r="L42" s="38" t="n">
        <x:v>2.1128</x:v>
      </x:c>
      <x:c r="M42" s="38" t="n">
        <x:v>0.001</x:v>
      </x:c>
      <x:c r="N42" s="38" t="n">
        <x:v>0.1559</x:v>
      </x:c>
      <x:c r="O42" s="38" t="n">
        <x:v>0.221</x:v>
      </x:c>
    </x:row>
    <x:row r="43" ht="15" hidden="0" customHeight="1">
      <x:c r="A43" s="35" t="str">
        <x:v>70</x:v>
      </x:c>
      <x:c r="B43" s="35" t="str">
        <x:v>Miscellaneous Trade Accounts</x:v>
      </x:c>
      <x:c r="C43" s="36" t="n">
        <x:v>0</x:v>
      </x:c>
      <x:c r="D43" s="36" t="n">
        <x:v>1</x:v>
      </x:c>
      <x:c r="E43" s="37" t="n">
        <x:v>0</x:v>
      </x:c>
      <x:c r="F43" s="37" t="n">
        <x:v>47748.75</x:v>
      </x:c>
      <x:c r="G43" s="37" t="n">
        <x:v>47748.75</x:v>
      </x:c>
      <x:c r="H43" s="38"/>
      <x:c r="I43" s="37" t="n">
        <x:v>0</x:v>
      </x:c>
      <x:c r="J43" s="37" t="n">
        <x:v>9104.42</x:v>
      </x:c>
      <x:c r="K43" s="37" t="n">
        <x:v>9104.42</x:v>
      </x:c>
      <x:c r="L43" s="38"/>
      <x:c r="M43" s="38" t="n">
        <x:v>0.0009</x:v>
      </x:c>
      <x:c r="N43" s="38"/>
      <x:c r="O43" s="38" t="n">
        <x:v>0.1907</x:v>
      </x:c>
    </x:row>
    <x:row r="44" ht="15" hidden="0" customHeight="1">
      <x:c r="A44" s="35" t="str">
        <x:v>67</x:v>
      </x:c>
      <x:c r="B44" s="35" t="str">
        <x:v>Midwest Specialty Operator</x:v>
      </x:c>
      <x:c r="C44" s="36" t="n">
        <x:v>0</x:v>
      </x:c>
      <x:c r="D44" s="36" t="n">
        <x:v>1</x:v>
      </x:c>
      <x:c r="E44" s="37" t="n">
        <x:v>0</x:v>
      </x:c>
      <x:c r="F44" s="37" t="n">
        <x:v>30097.27</x:v>
      </x:c>
      <x:c r="G44" s="37" t="n">
        <x:v>30097.27</x:v>
      </x:c>
      <x:c r="H44" s="38"/>
      <x:c r="I44" s="37" t="n">
        <x:v>0</x:v>
      </x:c>
      <x:c r="J44" s="37" t="n">
        <x:v>6238.43</x:v>
      </x:c>
      <x:c r="K44" s="37" t="n">
        <x:v>6238.43</x:v>
      </x:c>
      <x:c r="L44" s="38"/>
      <x:c r="M44" s="38" t="n">
        <x:v>0.0006</x:v>
      </x:c>
      <x:c r="N44" s="38"/>
      <x:c r="O44" s="38" t="n">
        <x:v>0.2073</x:v>
      </x:c>
    </x:row>
    <x:row r="45" ht="15" hidden="0" customHeight="1">
      <x:c r="A45" s="35" t="str">
        <x:v>66</x:v>
      </x:c>
      <x:c r="B45" s="35" t="str">
        <x:v>Independent Neighborhood Retailer</x:v>
      </x:c>
      <x:c r="C45" s="36" t="n">
        <x:v>0</x:v>
      </x:c>
      <x:c r="D45" s="36" t="n">
        <x:v>4</x:v>
      </x:c>
      <x:c r="E45" s="37" t="n">
        <x:v>0</x:v>
      </x:c>
      <x:c r="F45" s="37" t="n">
        <x:v>23245.28</x:v>
      </x:c>
      <x:c r="G45" s="37" t="n">
        <x:v>23245.28</x:v>
      </x:c>
      <x:c r="H45" s="38"/>
      <x:c r="I45" s="37" t="n">
        <x:v>0</x:v>
      </x:c>
      <x:c r="J45" s="37" t="n">
        <x:v>6870.32</x:v>
      </x:c>
      <x:c r="K45" s="37" t="n">
        <x:v>6870.32</x:v>
      </x:c>
      <x:c r="L45" s="38"/>
      <x:c r="M45" s="38" t="n">
        <x:v>0.0005</x:v>
      </x:c>
      <x:c r="N45" s="38"/>
      <x:c r="O45" s="38" t="n">
        <x:v>0.2956</x:v>
      </x:c>
    </x:row>
    <x:row r="46" ht="15" hidden="0" customHeight="1">
      <x:c r="A46" s="35" t="str">
        <x:v>1</x:v>
      </x:c>
      <x:c r="B46" s="35" t="str">
        <x:v>Unassigned</x:v>
      </x:c>
      <x:c r="C46" s="36" t="n">
        <x:v>2</x:v>
      </x:c>
      <x:c r="D46" s="36" t="n">
        <x:v>8</x:v>
      </x:c>
      <x:c r="E46" s="37" t="n">
        <x:v>426.19</x:v>
      </x:c>
      <x:c r="F46" s="37" t="n">
        <x:v>15757.97</x:v>
      </x:c>
      <x:c r="G46" s="37" t="n">
        <x:v>15331.78</x:v>
      </x:c>
      <x:c r="H46" s="38" t="n">
        <x:v>35.9745</x:v>
      </x:c>
      <x:c r="I46" s="37" t="n">
        <x:v>139.73</x:v>
      </x:c>
      <x:c r="J46" s="37" t="n">
        <x:v>4672.06</x:v>
      </x:c>
      <x:c r="K46" s="37" t="n">
        <x:v>4532.33</x:v>
      </x:c>
      <x:c r="L46" s="38" t="n">
        <x:v>32.4362</x:v>
      </x:c>
      <x:c r="M46" s="38" t="n">
        <x:v>0.0003</x:v>
      </x:c>
      <x:c r="N46" s="38" t="n">
        <x:v>0.32789999999999997</x:v>
      </x:c>
      <x:c r="O46" s="38" t="n">
        <x:v>0.2965</x:v>
      </x:c>
    </x:row>
    <x:row r="47" ht="15" hidden="0" customHeight="1">
      <x:c r="A47" s="35" t="str">
        <x:v>52</x:v>
      </x:c>
      <x:c r="B47" s="35" t="str">
        <x:v>Specialty Goods Retailer</x:v>
      </x:c>
      <x:c r="C47" s="36" t="n">
        <x:v>1</x:v>
      </x:c>
      <x:c r="D47" s="36" t="n">
        <x:v>1</x:v>
      </x:c>
      <x:c r="E47" s="37" t="n">
        <x:v>211635.44</x:v>
      </x:c>
      <x:c r="F47" s="37" t="n">
        <x:v>218774.65</x:v>
      </x:c>
      <x:c r="G47" s="37" t="n">
        <x:v>7139.2</x:v>
      </x:c>
      <x:c r="H47" s="38" t="n">
        <x:v>0.0337</x:v>
      </x:c>
      <x:c r="I47" s="37" t="n">
        <x:v>41736.25</x:v>
      </x:c>
      <x:c r="J47" s="37" t="n">
        <x:v>44008.28</x:v>
      </x:c>
      <x:c r="K47" s="37" t="n">
        <x:v>2272.03</x:v>
      </x:c>
      <x:c r="L47" s="38" t="n">
        <x:v>0.054400000000000004</x:v>
      </x:c>
      <x:c r="M47" s="38" t="n">
        <x:v>0.0001</x:v>
      </x:c>
      <x:c r="N47" s="38" t="n">
        <x:v>0.1972</x:v>
      </x:c>
      <x:c r="O47" s="38" t="n">
        <x:v>0.20120000000000002</x:v>
      </x:c>
    </x:row>
    <x:row r="48" ht="15" hidden="0" customHeight="1">
      <x:c r="A48" s="35" t="str">
        <x:v>10</x:v>
      </x:c>
      <x:c r="B48" s="35" t="str">
        <x:v>Unassigned - Legacy</x:v>
      </x:c>
      <x:c r="C48" s="36" t="n">
        <x:v>0</x:v>
      </x:c>
      <x:c r="D48" s="36" t="n">
        <x:v>1</x:v>
      </x:c>
      <x:c r="E48" s="37" t="n">
        <x:v>0</x:v>
      </x:c>
      <x:c r="F48" s="37" t="n">
        <x:v>522.42</x:v>
      </x:c>
      <x:c r="G48" s="37" t="n">
        <x:v>522.42</x:v>
      </x:c>
      <x:c r="H48" s="38"/>
      <x:c r="I48" s="37" t="n">
        <x:v>0</x:v>
      </x:c>
      <x:c r="J48" s="37" t="n">
        <x:v>137.82</x:v>
      </x:c>
      <x:c r="K48" s="37" t="n">
        <x:v>137.82</x:v>
      </x:c>
      <x:c r="L48" s="38"/>
      <x:c r="M48" s="38" t="n">
        <x:v>0</x:v>
      </x:c>
      <x:c r="N48" s="38"/>
      <x:c r="O48" s="38" t="n">
        <x:v>0.2638</x:v>
      </x:c>
    </x:row>
    <x:row r="49" ht="15" hidden="0" customHeight="1">
      <x:c r="A49" s="35" t="str">
        <x:v>3</x:v>
      </x:c>
      <x:c r="B49" s="35" t="str">
        <x:v>National Retail Chains</x:v>
      </x:c>
      <x:c r="C49" s="36" t="n">
        <x:v>70</x:v>
      </x:c>
      <x:c r="D49" s="36" t="n">
        <x:v>58</x:v>
      </x:c>
      <x:c r="E49" s="37" t="n">
        <x:v>2922857.63</x:v>
      </x:c>
      <x:c r="F49" s="37" t="n">
        <x:v>2919563.32</x:v>
      </x:c>
      <x:c r="G49" s="37" t="n">
        <x:v>-3294.31</x:v>
      </x:c>
      <x:c r="H49" s="38" t="n">
        <x:v>-0.0011</x:v>
      </x:c>
      <x:c r="I49" s="37" t="n">
        <x:v>542064.68</x:v>
      </x:c>
      <x:c r="J49" s="37" t="n">
        <x:v>674285.16</x:v>
      </x:c>
      <x:c r="K49" s="37" t="n">
        <x:v>132220.48</x:v>
      </x:c>
      <x:c r="L49" s="38" t="n">
        <x:v>0.2439</x:v>
      </x:c>
      <x:c r="M49" s="38" t="n">
        <x:v>-0.0001</x:v>
      </x:c>
      <x:c r="N49" s="38" t="n">
        <x:v>0.1855</x:v>
      </x:c>
      <x:c r="O49" s="38" t="n">
        <x:v>0.231</x:v>
      </x:c>
    </x:row>
    <x:row r="50" ht="15" hidden="0" customHeight="1">
      <x:c r="A50" s="35" t="str">
        <x:v>11</x:v>
      </x:c>
      <x:c r="B50" s="35" t="str">
        <x:v>Manufacturing Partners</x:v>
      </x:c>
      <x:c r="C50" s="36" t="n">
        <x:v>15</x:v>
      </x:c>
      <x:c r="D50" s="36" t="n">
        <x:v>11</x:v>
      </x:c>
      <x:c r="E50" s="37" t="n">
        <x:v>66939.24</x:v>
      </x:c>
      <x:c r="F50" s="37" t="n">
        <x:v>63365.76</x:v>
      </x:c>
      <x:c r="G50" s="37" t="n">
        <x:v>-3573.48</x:v>
      </x:c>
      <x:c r="H50" s="38" t="n">
        <x:v>-0.053399999999999996</x:v>
      </x:c>
      <x:c r="I50" s="37" t="n">
        <x:v>13727.79</x:v>
      </x:c>
      <x:c r="J50" s="37" t="n">
        <x:v>13570.14</x:v>
      </x:c>
      <x:c r="K50" s="37" t="n">
        <x:v>-157.65</x:v>
      </x:c>
      <x:c r="L50" s="38" t="n">
        <x:v>-0.0115</x:v>
      </x:c>
      <x:c r="M50" s="38" t="n">
        <x:v>-0.0001</x:v>
      </x:c>
      <x:c r="N50" s="38" t="n">
        <x:v>0.2051</x:v>
      </x:c>
      <x:c r="O50" s="38" t="n">
        <x:v>0.21420000000000003</x:v>
      </x:c>
    </x:row>
    <x:row r="51" ht="15" hidden="0" customHeight="1">
      <x:c r="A51" s="35" t="str">
        <x:v>58</x:v>
      </x:c>
      <x:c r="B51" s="35" t="str">
        <x:v>Specialty Distribution Partner</x:v>
      </x:c>
      <x:c r="C51" s="36" t="n">
        <x:v>1</x:v>
      </x:c>
      <x:c r="D51" s="36" t="n">
        <x:v>1</x:v>
      </x:c>
      <x:c r="E51" s="37" t="n">
        <x:v>17071.85</x:v>
      </x:c>
      <x:c r="F51" s="37" t="n">
        <x:v>11431.59</x:v>
      </x:c>
      <x:c r="G51" s="37" t="n">
        <x:v>-5640.27</x:v>
      </x:c>
      <x:c r="H51" s="38" t="n">
        <x:v>-0.33039999999999997</x:v>
      </x:c>
      <x:c r="I51" s="37" t="n">
        <x:v>4721.77</x:v>
      </x:c>
      <x:c r="J51" s="37" t="n">
        <x:v>3399.77</x:v>
      </x:c>
      <x:c r="K51" s="37" t="n">
        <x:v>-1322</x:v>
      </x:c>
      <x:c r="L51" s="38" t="n">
        <x:v>-0.28</x:v>
      </x:c>
      <x:c r="M51" s="38" t="n">
        <x:v>-0.0001</x:v>
      </x:c>
      <x:c r="N51" s="38" t="n">
        <x:v>0.2766</x:v>
      </x:c>
      <x:c r="O51" s="38" t="n">
        <x:v>0.2974</x:v>
      </x:c>
    </x:row>
    <x:row r="52" ht="15" hidden="0" customHeight="1">
      <x:c r="A52" s="35" t="str">
        <x:v>24</x:v>
      </x:c>
      <x:c r="B52" s="35" t="str">
        <x:v>Metropolitan Retail Group</x:v>
      </x:c>
      <x:c r="C52" s="36" t="n">
        <x:v>5</x:v>
      </x:c>
      <x:c r="D52" s="36" t="n">
        <x:v>5</x:v>
      </x:c>
      <x:c r="E52" s="37" t="n">
        <x:v>147472.47</x:v>
      </x:c>
      <x:c r="F52" s="37" t="n">
        <x:v>138357.1</x:v>
      </x:c>
      <x:c r="G52" s="37" t="n">
        <x:v>-9115.37</x:v>
      </x:c>
      <x:c r="H52" s="38" t="n">
        <x:v>-0.061799999999999994</x:v>
      </x:c>
      <x:c r="I52" s="37" t="n">
        <x:v>26278.22</x:v>
      </x:c>
      <x:c r="J52" s="37" t="n">
        <x:v>35040.42</x:v>
      </x:c>
      <x:c r="K52" s="37" t="n">
        <x:v>8762.2</x:v>
      </x:c>
      <x:c r="L52" s="38" t="n">
        <x:v>0.33340000000000003</x:v>
      </x:c>
      <x:c r="M52" s="38" t="n">
        <x:v>-0.0002</x:v>
      </x:c>
      <x:c r="N52" s="38" t="n">
        <x:v>0.1782</x:v>
      </x:c>
      <x:c r="O52" s="38" t="n">
        <x:v>0.25329999999999997</x:v>
      </x:c>
    </x:row>
    <x:row r="53" ht="15" hidden="0" customHeight="1">
      <x:c r="A53" s="35" t="str">
        <x:v>12</x:v>
      </x:c>
      <x:c r="B53" s="35" t="str">
        <x:v>High-Volume Distribution Partner</x:v>
      </x:c>
      <x:c r="C53" s="36" t="n">
        <x:v>2</x:v>
      </x:c>
      <x:c r="D53" s="36" t="n">
        <x:v>1</x:v>
      </x:c>
      <x:c r="E53" s="37" t="n">
        <x:v>27434.96</x:v>
      </x:c>
      <x:c r="F53" s="37" t="n">
        <x:v>15002.7</x:v>
      </x:c>
      <x:c r="G53" s="37" t="n">
        <x:v>-12432.26</x:v>
      </x:c>
      <x:c r="H53" s="38" t="n">
        <x:v>-0.4532</x:v>
      </x:c>
      <x:c r="I53" s="37" t="n">
        <x:v>5091.49</x:v>
      </x:c>
      <x:c r="J53" s="37" t="n">
        <x:v>3473.32</x:v>
      </x:c>
      <x:c r="K53" s="37" t="n">
        <x:v>-1618.18</x:v>
      </x:c>
      <x:c r="L53" s="38" t="n">
        <x:v>-0.3178</x:v>
      </x:c>
      <x:c r="M53" s="38" t="n">
        <x:v>-0.0002</x:v>
      </x:c>
      <x:c r="N53" s="38" t="n">
        <x:v>0.1856</x:v>
      </x:c>
      <x:c r="O53" s="38" t="n">
        <x:v>0.23149999999999998</x:v>
      </x:c>
    </x:row>
    <x:row r="54" ht="15" hidden="0" customHeight="1">
      <x:c r="A54" s="35" t="str">
        <x:v>99</x:v>
      </x:c>
      <x:c r="B54" s="35" t="str">
        <x:v>Inactive / Closed Accounts</x:v>
      </x:c>
      <x:c r="C54" s="36" t="n">
        <x:v>7</x:v>
      </x:c>
      <x:c r="D54" s="36" t="n">
        <x:v>1</x:v>
      </x:c>
      <x:c r="E54" s="37" t="n">
        <x:v>46403.37</x:v>
      </x:c>
      <x:c r="F54" s="37" t="n">
        <x:v>31868.47</x:v>
      </x:c>
      <x:c r="G54" s="37" t="n">
        <x:v>-14534.9</x:v>
      </x:c>
      <x:c r="H54" s="38" t="n">
        <x:v>-0.3132</x:v>
      </x:c>
      <x:c r="I54" s="37" t="n">
        <x:v>7957.35</x:v>
      </x:c>
      <x:c r="J54" s="37" t="n">
        <x:v>8814.73</x:v>
      </x:c>
      <x:c r="K54" s="37" t="n">
        <x:v>857.38</x:v>
      </x:c>
      <x:c r="L54" s="38" t="n">
        <x:v>0.10769999999999999</x:v>
      </x:c>
      <x:c r="M54" s="38" t="n">
        <x:v>-0.0003</x:v>
      </x:c>
      <x:c r="N54" s="38" t="n">
        <x:v>0.17149999999999999</x:v>
      </x:c>
      <x:c r="O54" s="38" t="n">
        <x:v>0.2766</x:v>
      </x:c>
    </x:row>
    <x:row r="55" ht="15" hidden="0" customHeight="1">
      <x:c r="A55" s="35" t="str">
        <x:v>31</x:v>
      </x:c>
      <x:c r="B55" s="35" t="str">
        <x:v>Premium Specialty Operator</x:v>
      </x:c>
      <x:c r="C55" s="36" t="n">
        <x:v>4</x:v>
      </x:c>
      <x:c r="D55" s="36" t="n">
        <x:v>4</x:v>
      </x:c>
      <x:c r="E55" s="37" t="n">
        <x:v>893686.12</x:v>
      </x:c>
      <x:c r="F55" s="37" t="n">
        <x:v>873161.04</x:v>
      </x:c>
      <x:c r="G55" s="37" t="n">
        <x:v>-20525.08</x:v>
      </x:c>
      <x:c r="H55" s="38" t="n">
        <x:v>-0.023</x:v>
      </x:c>
      <x:c r="I55" s="37" t="n">
        <x:v>154536.16</x:v>
      </x:c>
      <x:c r="J55" s="37" t="n">
        <x:v>173179.34</x:v>
      </x:c>
      <x:c r="K55" s="37" t="n">
        <x:v>18643.18</x:v>
      </x:c>
      <x:c r="L55" s="38" t="n">
        <x:v>0.1206</x:v>
      </x:c>
      <x:c r="M55" s="38" t="n">
        <x:v>-0.0004</x:v>
      </x:c>
      <x:c r="N55" s="38" t="n">
        <x:v>0.1729</x:v>
      </x:c>
      <x:c r="O55" s="38" t="n">
        <x:v>0.19829999999999998</x:v>
      </x:c>
    </x:row>
    <x:row r="56" ht="15" hidden="0" customHeight="1">
      <x:c r="A56" s="35" t="str">
        <x:v>37</x:v>
      </x:c>
      <x:c r="B56" s="35" t="str">
        <x:v>Legacy Customer</x:v>
      </x:c>
      <x:c r="C56" s="36" t="n">
        <x:v>1</x:v>
      </x:c>
      <x:c r="D56" s="36" t="n">
        <x:v>0</x:v>
      </x:c>
      <x:c r="E56" s="37" t="n">
        <x:v>63788.98</x:v>
      </x:c>
      <x:c r="F56" s="37" t="n">
        <x:v>0</x:v>
      </x:c>
      <x:c r="G56" s="37" t="n">
        <x:v>-63788.98</x:v>
      </x:c>
      <x:c r="H56" s="38" t="n">
        <x:v>-1</x:v>
      </x:c>
      <x:c r="I56" s="37" t="n">
        <x:v>13537.93</x:v>
      </x:c>
      <x:c r="J56" s="37" t="n">
        <x:v>0</x:v>
      </x:c>
      <x:c r="K56" s="37" t="n">
        <x:v>-13537.93</x:v>
      </x:c>
      <x:c r="L56" s="38" t="n">
        <x:v>-1</x:v>
      </x:c>
      <x:c r="M56" s="38" t="n">
        <x:v>-0.0012</x:v>
      </x:c>
      <x:c r="N56" s="38" t="n">
        <x:v>0.2122</x:v>
      </x:c>
      <x:c r="O56" s="38"/>
    </x:row>
    <x:row r="57" ht="15" hidden="0" customHeight="1">
      <x:c r="A57" s="35" t="str">
        <x:v>28</x:v>
      </x:c>
      <x:c r="B57" s="35" t="str">
        <x:v>Corporate Retail Group</x:v>
      </x:c>
      <x:c r="C57" s="36" t="n">
        <x:v>17</x:v>
      </x:c>
      <x:c r="D57" s="36" t="n">
        <x:v>0</x:v>
      </x:c>
      <x:c r="E57" s="37" t="n">
        <x:v>90221.48</x:v>
      </x:c>
      <x:c r="F57" s="37" t="n">
        <x:v>0</x:v>
      </x:c>
      <x:c r="G57" s="37" t="n">
        <x:v>-90221.48</x:v>
      </x:c>
      <x:c r="H57" s="38" t="n">
        <x:v>-1</x:v>
      </x:c>
      <x:c r="I57" s="37" t="n">
        <x:v>20257.42</x:v>
      </x:c>
      <x:c r="J57" s="37" t="n">
        <x:v>0</x:v>
      </x:c>
      <x:c r="K57" s="37" t="n">
        <x:v>-20257.42</x:v>
      </x:c>
      <x:c r="L57" s="38" t="n">
        <x:v>-1</x:v>
      </x:c>
      <x:c r="M57" s="38" t="n">
        <x:v>-0.0017000000000000001</x:v>
      </x:c>
      <x:c r="N57" s="38" t="n">
        <x:v>0.2245</x:v>
      </x:c>
      <x:c r="O57" s="38"/>
    </x:row>
    <x:row r="58" ht="15" hidden="0" customHeight="1">
      <x:c r="A58" s="35" t="str">
        <x:v>20</x:v>
      </x:c>
      <x:c r="B58" s="35" t="str">
        <x:v>Cooperative Member Account</x:v>
      </x:c>
      <x:c r="C58" s="36" t="n">
        <x:v>8</x:v>
      </x:c>
      <x:c r="D58" s="36" t="n">
        <x:v>7</x:v>
      </x:c>
      <x:c r="E58" s="37" t="n">
        <x:v>248172.04</x:v>
      </x:c>
      <x:c r="F58" s="37" t="n">
        <x:v>143434.84</x:v>
      </x:c>
      <x:c r="G58" s="37" t="n">
        <x:v>-104737.19</x:v>
      </x:c>
      <x:c r="H58" s="38" t="n">
        <x:v>-0.42200000000000004</x:v>
      </x:c>
      <x:c r="I58" s="37" t="n">
        <x:v>50094.39</x:v>
      </x:c>
      <x:c r="J58" s="37" t="n">
        <x:v>36018.24</x:v>
      </x:c>
      <x:c r="K58" s="37" t="n">
        <x:v>-14076.15</x:v>
      </x:c>
      <x:c r="L58" s="38" t="n">
        <x:v>-0.281</x:v>
      </x:c>
      <x:c r="M58" s="38" t="n">
        <x:v>-0.002</x:v>
      </x:c>
      <x:c r="N58" s="38" t="n">
        <x:v>0.20190000000000002</x:v>
      </x:c>
      <x:c r="O58" s="38" t="n">
        <x:v>0.2511</x:v>
      </x:c>
    </x:row>
    <x:row r="59" ht="15" hidden="0" customHeight="1">
      <x:c r="A59" s="35" t="str">
        <x:v>39</x:v>
      </x:c>
      <x:c r="B59" s="35" t="str">
        <x:v>International Specialty Retailer</x:v>
      </x:c>
      <x:c r="C59" s="36" t="n">
        <x:v>1</x:v>
      </x:c>
      <x:c r="D59" s="36" t="n">
        <x:v>0</x:v>
      </x:c>
      <x:c r="E59" s="37" t="n">
        <x:v>117606.36</x:v>
      </x:c>
      <x:c r="F59" s="37" t="n">
        <x:v>0</x:v>
      </x:c>
      <x:c r="G59" s="37" t="n">
        <x:v>-117606.36</x:v>
      </x:c>
      <x:c r="H59" s="38" t="n">
        <x:v>-1</x:v>
      </x:c>
      <x:c r="I59" s="37" t="n">
        <x:v>30673.2</x:v>
      </x:c>
      <x:c r="J59" s="37" t="n">
        <x:v>0</x:v>
      </x:c>
      <x:c r="K59" s="37" t="n">
        <x:v>-30673.2</x:v>
      </x:c>
      <x:c r="L59" s="38" t="n">
        <x:v>-1</x:v>
      </x:c>
      <x:c r="M59" s="38" t="n">
        <x:v>-0.0023</x:v>
      </x:c>
      <x:c r="N59" s="38" t="n">
        <x:v>0.2608</x:v>
      </x:c>
      <x:c r="O59" s="38"/>
    </x:row>
    <x:row r="60" ht="15" hidden="0" customHeight="1">
      <x:c r="A60" s="35" t="str">
        <x:v>14</x:v>
      </x:c>
      <x:c r="B60" s="35" t="str">
        <x:v>Specialty Retail - Small Format</x:v>
      </x:c>
      <x:c r="C60" s="36" t="n">
        <x:v>22</x:v>
      </x:c>
      <x:c r="D60" s="36" t="n">
        <x:v>14</x:v>
      </x:c>
      <x:c r="E60" s="37" t="n">
        <x:v>205957.04</x:v>
      </x:c>
      <x:c r="F60" s="37" t="n">
        <x:v>74642.38</x:v>
      </x:c>
      <x:c r="G60" s="37" t="n">
        <x:v>-131314.66</x:v>
      </x:c>
      <x:c r="H60" s="38" t="n">
        <x:v>-0.6376</x:v>
      </x:c>
      <x:c r="I60" s="37" t="n">
        <x:v>47815.26</x:v>
      </x:c>
      <x:c r="J60" s="37" t="n">
        <x:v>19253.24</x:v>
      </x:c>
      <x:c r="K60" s="37" t="n">
        <x:v>-28562.02</x:v>
      </x:c>
      <x:c r="L60" s="38" t="n">
        <x:v>-0.5972999999999999</x:v>
      </x:c>
      <x:c r="M60" s="38" t="n">
        <x:v>-0.0025</x:v>
      </x:c>
      <x:c r="N60" s="38" t="n">
        <x:v>0.2322</x:v>
      </x:c>
      <x:c r="O60" s="38" t="n">
        <x:v>0.2579</x:v>
      </x:c>
    </x:row>
    <x:row r="61" ht="15" hidden="0" customHeight="1">
      <x:c r="A61" s="35" t="str">
        <x:v>34</x:v>
      </x:c>
      <x:c r="B61" s="35" t="str">
        <x:v>Urban Boutique Retailer</x:v>
      </x:c>
      <x:c r="C61" s="36" t="n">
        <x:v>5</x:v>
      </x:c>
      <x:c r="D61" s="36" t="n">
        <x:v>0</x:v>
      </x:c>
      <x:c r="E61" s="37" t="n">
        <x:v>179398.39</x:v>
      </x:c>
      <x:c r="F61" s="37" t="n">
        <x:v>0</x:v>
      </x:c>
      <x:c r="G61" s="37" t="n">
        <x:v>-179398.39</x:v>
      </x:c>
      <x:c r="H61" s="38" t="n">
        <x:v>-1</x:v>
      </x:c>
      <x:c r="I61" s="37" t="n">
        <x:v>25555.27</x:v>
      </x:c>
      <x:c r="J61" s="37" t="n">
        <x:v>0</x:v>
      </x:c>
      <x:c r="K61" s="37" t="n">
        <x:v>-25555.27</x:v>
      </x:c>
      <x:c r="L61" s="38" t="n">
        <x:v>-1</x:v>
      </x:c>
      <x:c r="M61" s="38" t="n">
        <x:v>-0.0034999999999999996</x:v>
      </x:c>
      <x:c r="N61" s="38" t="n">
        <x:v>0.1424</x:v>
      </x:c>
      <x:c r="O61" s="38"/>
    </x:row>
    <x:row r="62" ht="15" hidden="0" customHeight="1">
      <x:c r="A62" s="35" t="str">
        <x:v>32</x:v>
      </x:c>
      <x:c r="B62" s="35" t="str">
        <x:v>High-End Urban Retailer</x:v>
      </x:c>
      <x:c r="C62" s="36" t="n">
        <x:v>2</x:v>
      </x:c>
      <x:c r="D62" s="36" t="n">
        <x:v>1</x:v>
      </x:c>
      <x:c r="E62" s="37" t="n">
        <x:v>972531.46</x:v>
      </x:c>
      <x:c r="F62" s="37" t="n">
        <x:v>729269.33</x:v>
      </x:c>
      <x:c r="G62" s="37" t="n">
        <x:v>-243262.14</x:v>
      </x:c>
      <x:c r="H62" s="38" t="n">
        <x:v>-0.2501</x:v>
      </x:c>
      <x:c r="I62" s="37" t="n">
        <x:v>141653.46</x:v>
      </x:c>
      <x:c r="J62" s="37" t="n">
        <x:v>137673.52</x:v>
      </x:c>
      <x:c r="K62" s="37" t="n">
        <x:v>-3979.93</x:v>
      </x:c>
      <x:c r="L62" s="38" t="n">
        <x:v>-0.0281</x:v>
      </x:c>
      <x:c r="M62" s="38" t="n">
        <x:v>-0.004699999999999999</x:v>
      </x:c>
      <x:c r="N62" s="38" t="n">
        <x:v>0.1457</x:v>
      </x:c>
      <x:c r="O62" s="38" t="n">
        <x:v>0.1888</x:v>
      </x:c>
    </x:row>
    <x:row r="63" ht="15" hidden="0" customHeight="1">
      <x:c r="A63" s="35" t="str">
        <x:v>6</x:v>
      </x:c>
      <x:c r="B63" s="35" t="str">
        <x:v>Commercial Supply Partners</x:v>
      </x:c>
      <x:c r="C63" s="36" t="n">
        <x:v>14</x:v>
      </x:c>
      <x:c r="D63" s="36" t="n">
        <x:v>9</x:v>
      </x:c>
      <x:c r="E63" s="37" t="n">
        <x:v>1194480.43</x:v>
      </x:c>
      <x:c r="F63" s="37" t="n">
        <x:v>866400.85</x:v>
      </x:c>
      <x:c r="G63" s="37" t="n">
        <x:v>-328079.58</x:v>
      </x:c>
      <x:c r="H63" s="38" t="n">
        <x:v>-0.2747</x:v>
      </x:c>
      <x:c r="I63" s="37" t="n">
        <x:v>171172.09</x:v>
      </x:c>
      <x:c r="J63" s="37" t="n">
        <x:v>144778.12</x:v>
      </x:c>
      <x:c r="K63" s="37" t="n">
        <x:v>-26393.98</x:v>
      </x:c>
      <x:c r="L63" s="38" t="n">
        <x:v>-0.1542</x:v>
      </x:c>
      <x:c r="M63" s="38" t="n">
        <x:v>-0.0064</x:v>
      </x:c>
      <x:c r="N63" s="38" t="n">
        <x:v>0.1433</x:v>
      </x:c>
      <x:c r="O63" s="38" t="n">
        <x:v>0.1671</x:v>
      </x:c>
    </x:row>
    <x:row r="64" ht="15" hidden="0" customHeight="1">
      <x:c r="A64" s="35" t="str">
        <x:v>25</x:v>
      </x:c>
      <x:c r="B64" s="35" t="str">
        <x:v>Premium Specialty Retailer</x:v>
      </x:c>
      <x:c r="C64" s="36" t="n">
        <x:v>3</x:v>
      </x:c>
      <x:c r="D64" s="36" t="n">
        <x:v>3</x:v>
      </x:c>
      <x:c r="E64" s="37" t="n">
        <x:v>1082222.91</x:v>
      </x:c>
      <x:c r="F64" s="37" t="n">
        <x:v>698296.17</x:v>
      </x:c>
      <x:c r="G64" s="37" t="n">
        <x:v>-383926.74</x:v>
      </x:c>
      <x:c r="H64" s="38" t="n">
        <x:v>-0.35479999999999995</x:v>
      </x:c>
      <x:c r="I64" s="37" t="n">
        <x:v>183759.07</x:v>
      </x:c>
      <x:c r="J64" s="37" t="n">
        <x:v>143801.19</x:v>
      </x:c>
      <x:c r="K64" s="37" t="n">
        <x:v>-39957.88</x:v>
      </x:c>
      <x:c r="L64" s="38" t="n">
        <x:v>-0.21739999999999998</x:v>
      </x:c>
      <x:c r="M64" s="38" t="n">
        <x:v>-0.0074</x:v>
      </x:c>
      <x:c r="N64" s="38" t="n">
        <x:v>0.1698</x:v>
      </x:c>
      <x:c r="O64" s="38" t="n">
        <x:v>0.2059</x:v>
      </x:c>
    </x:row>
    <x:row r="65" ht="15" hidden="0" customHeight="1">
      <x:c r="A65" s="35" t="str">
        <x:v>36</x:v>
      </x:c>
      <x:c r="B65" s="35" t="str">
        <x:v>Import Distribution Partner</x:v>
      </x:c>
      <x:c r="C65" s="36" t="n">
        <x:v>1</x:v>
      </x:c>
      <x:c r="D65" s="36" t="n">
        <x:v>1</x:v>
      </x:c>
      <x:c r="E65" s="37" t="n">
        <x:v>1162245</x:v>
      </x:c>
      <x:c r="F65" s="37" t="n">
        <x:v>738971.5</x:v>
      </x:c>
      <x:c r="G65" s="37" t="n">
        <x:v>-423273.51</x:v>
      </x:c>
      <x:c r="H65" s="38" t="n">
        <x:v>-0.3642</x:v>
      </x:c>
      <x:c r="I65" s="37" t="n">
        <x:v>148320.79</x:v>
      </x:c>
      <x:c r="J65" s="37" t="n">
        <x:v>123765.48</x:v>
      </x:c>
      <x:c r="K65" s="37" t="n">
        <x:v>-24555.3</x:v>
      </x:c>
      <x:c r="L65" s="38" t="n">
        <x:v>-0.1656</x:v>
      </x:c>
      <x:c r="M65" s="38" t="n">
        <x:v>-0.008199999999999999</x:v>
      </x:c>
      <x:c r="N65" s="38" t="n">
        <x:v>0.1276</x:v>
      </x:c>
      <x:c r="O65" s="38" t="n">
        <x:v>0.1675</x:v>
      </x:c>
    </x:row>
    <x:row r="66" ht="15" hidden="0" customHeight="1">
      <x:c r="A66" s="35" t="str">
        <x:v>7</x:v>
      </x:c>
      <x:c r="B66" s="35" t="str">
        <x:v>Regional Retail Chain - Tier 1</x:v>
      </x:c>
      <x:c r="C66" s="36" t="n">
        <x:v>17</x:v>
      </x:c>
      <x:c r="D66" s="36" t="n">
        <x:v>0</x:v>
      </x:c>
      <x:c r="E66" s="37" t="n">
        <x:v>1299533.02</x:v>
      </x:c>
      <x:c r="F66" s="37" t="n">
        <x:v>0</x:v>
      </x:c>
      <x:c r="G66" s="37" t="n">
        <x:v>-1299533.02</x:v>
      </x:c>
      <x:c r="H66" s="38" t="n">
        <x:v>-1</x:v>
      </x:c>
      <x:c r="I66" s="37" t="n">
        <x:v>215221.74</x:v>
      </x:c>
      <x:c r="J66" s="37" t="n">
        <x:v>0</x:v>
      </x:c>
      <x:c r="K66" s="37" t="n">
        <x:v>-215221.74</x:v>
      </x:c>
      <x:c r="L66" s="38" t="n">
        <x:v>-1</x:v>
      </x:c>
      <x:c r="M66" s="38" t="n">
        <x:v>-0.0252</x:v>
      </x:c>
      <x:c r="N66" s="38" t="n">
        <x:v>0.1656</x:v>
      </x:c>
      <x:c r="O66" s="38"/>
    </x:row>
    <x:row r="67" ht="15" hidden="0" customHeight="1">
      <x:c r="A67" s="35" t="str">
        <x:v>17</x:v>
      </x:c>
      <x:c r="B67" s="35" t="str">
        <x:v>Mid-Size Retail Chain</x:v>
      </x:c>
      <x:c r="C67" s="36" t="n">
        <x:v>29</x:v>
      </x:c>
      <x:c r="D67" s="36" t="n">
        <x:v>0</x:v>
      </x:c>
      <x:c r="E67" s="37" t="n">
        <x:v>1360284.02</x:v>
      </x:c>
      <x:c r="F67" s="37" t="n">
        <x:v>0</x:v>
      </x:c>
      <x:c r="G67" s="37" t="n">
        <x:v>-1360284.02</x:v>
      </x:c>
      <x:c r="H67" s="38" t="n">
        <x:v>-1</x:v>
      </x:c>
      <x:c r="I67" s="37" t="n">
        <x:v>211455.35</x:v>
      </x:c>
      <x:c r="J67" s="37" t="n">
        <x:v>0</x:v>
      </x:c>
      <x:c r="K67" s="37" t="n">
        <x:v>-211455.35</x:v>
      </x:c>
      <x:c r="L67" s="38" t="n">
        <x:v>-1</x:v>
      </x:c>
      <x:c r="M67" s="38" t="n">
        <x:v>-0.0264</x:v>
      </x:c>
      <x:c r="N67" s="38" t="n">
        <x:v>0.15539999999999998</x:v>
      </x:c>
      <x:c r="O67" s="38"/>
    </x:row>
  </x:sheetData>
  <x:mergeCells>
    <x:mergeCell ref="A1:O1"/>
    <x:mergeCell ref="A2:O2"/>
  </x:mergeCells>
  <x:pageMargins left="0.7" right="0.7" top="0.75" bottom="0.75" header="0.3" footer="0.3"/>
  <x:tableParts count="1">
    <x:tablePart xmlns:r="http://schemas.openxmlformats.org/officeDocument/2006/relationships" r:id="Rc5f81c1b4f1c4c3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4" hidden="0" customWidth="1"/>
    <x:col min="3" max="3" width="15.380000114440918" hidden="0" customWidth="1"/>
    <x:col min="4" max="4" width="13.75" hidden="0" customWidth="1"/>
    <x:col min="5" max="5" width="16.1299991607666" hidden="0" customWidth="1"/>
    <x:col min="6" max="6" width="20.3799991607666" hidden="0" customWidth="1"/>
    <x:col min="7" max="7" width="13.880000114440918" hidden="0" customWidth="1"/>
  </x:cols>
  <x:sheetData>
    <x:row r="1" ht="32" customHeight="1">
      <x:c r="A1" s="3" t="str">
        <x:v>Segment Revenue Concentration</x:v>
      </x:c>
    </x:row>
    <x:row r="2" ht="24" customHeight="1">
      <x:c r="A2" s="6" t="str">
        <x:v>Historical customer segments ranked by recognized revenue</x:v>
      </x:c>
    </x:row>
    <x:row r="4" ht="15" hidden="0" customHeight="1">
      <x:c r="A4" s="34" t="str">
        <x:v>Customer Class</x:v>
      </x:c>
      <x:c r="B4" s="34" t="str">
        <x:v>Customer Class Description</x:v>
      </x:c>
      <x:c r="C4" s="34" t="str">
        <x:v>Customer Count</x:v>
      </x:c>
      <x:c r="D4" s="34" t="str">
        <x:v>Total Revenue</x:v>
      </x:c>
      <x:c r="E4" s="34" t="str">
        <x:v>Revenue Share %</x:v>
      </x:c>
      <x:c r="F4" s="34" t="str">
        <x:v>Cumulative Revenue %</x:v>
      </x:c>
      <x:c r="G4" s="34" t="str">
        <x:v>Revenue Rank</x:v>
      </x:c>
    </x:row>
    <x:row r="5" ht="15" hidden="0" customHeight="1">
      <x:c r="A5" s="35" t="str">
        <x:v>2</x:v>
      </x:c>
      <x:c r="B5" s="35" t="str">
        <x:v>Independent Retail Accounts</x:v>
      </x:c>
      <x:c r="C5" s="36" t="n">
        <x:v>1663</x:v>
      </x:c>
      <x:c r="D5" s="37" t="n">
        <x:v>353140177.88</x:v>
      </x:c>
      <x:c r="E5" s="38" t="n">
        <x:v>0.48747799999999997</x:v>
      </x:c>
      <x:c r="F5" s="38" t="n">
        <x:v>0.48747799999999997</x:v>
      </x:c>
      <x:c r="G5" s="36" t="n">
        <x:v>1</x:v>
      </x:c>
    </x:row>
    <x:row r="6" ht="15" hidden="0" customHeight="1">
      <x:c r="A6" s="35" t="str">
        <x:v>5</x:v>
      </x:c>
      <x:c r="B6" s="35" t="str">
        <x:v>Wholesale Trade Accounts</x:v>
      </x:c>
      <x:c r="C6" s="36" t="n">
        <x:v>365</x:v>
      </x:c>
      <x:c r="D6" s="37" t="n">
        <x:v>102318681.7</x:v>
      </x:c>
      <x:c r="E6" s="38" t="n">
        <x:v>0.141242</x:v>
      </x:c>
      <x:c r="F6" s="38" t="n">
        <x:v>0.6287189999999999</x:v>
      </x:c>
      <x:c r="G6" s="36" t="n">
        <x:v>2</x:v>
      </x:c>
    </x:row>
    <x:row r="7" ht="15" hidden="0" customHeight="1">
      <x:c r="A7" s="35" t="str">
        <x:v>4</x:v>
      </x:c>
      <x:c r="B7" s="35" t="str">
        <x:v>Commercial Service Accounts</x:v>
      </x:c>
      <x:c r="C7" s="36" t="n">
        <x:v>465</x:v>
      </x:c>
      <x:c r="D7" s="37" t="n">
        <x:v>43124288.42</x:v>
      </x:c>
      <x:c r="E7" s="38" t="n">
        <x:v>0.059529</x:v>
      </x:c>
      <x:c r="F7" s="38" t="n">
        <x:v>0.688248</x:v>
      </x:c>
      <x:c r="G7" s="36" t="n">
        <x:v>3</x:v>
      </x:c>
    </x:row>
    <x:row r="8" ht="15" hidden="0" customHeight="1">
      <x:c r="A8" s="35" t="str">
        <x:v>8</x:v>
      </x:c>
      <x:c r="B8" s="35" t="str">
        <x:v>Regional Retail Chain - Tier 2</x:v>
      </x:c>
      <x:c r="C8" s="36" t="n">
        <x:v>18</x:v>
      </x:c>
      <x:c r="D8" s="37" t="n">
        <x:v>29970666.86</x:v>
      </x:c>
      <x:c r="E8" s="38" t="n">
        <x:v>0.041372</x:v>
      </x:c>
      <x:c r="F8" s="38" t="n">
        <x:v>0.72962</x:v>
      </x:c>
      <x:c r="G8" s="36" t="n">
        <x:v>4</x:v>
      </x:c>
    </x:row>
    <x:row r="9" ht="15" hidden="0" customHeight="1">
      <x:c r="A9" s="35" t="str">
        <x:v>3</x:v>
      </x:c>
      <x:c r="B9" s="35" t="str">
        <x:v>National Retail Chains</x:v>
      </x:c>
      <x:c r="C9" s="36" t="n">
        <x:v>115</x:v>
      </x:c>
      <x:c r="D9" s="37" t="n">
        <x:v>21360862.49</x:v>
      </x:c>
      <x:c r="E9" s="38" t="n">
        <x:v>0.029487</x:v>
      </x:c>
      <x:c r="F9" s="38" t="n">
        <x:v>0.7591070000000001</x:v>
      </x:c>
      <x:c r="G9" s="36" t="n">
        <x:v>5</x:v>
      </x:c>
    </x:row>
    <x:row r="10" ht="15" hidden="0" customHeight="1">
      <x:c r="A10" s="35" t="str">
        <x:v>54</x:v>
      </x:c>
      <x:c r="B10" s="35" t="str">
        <x:v>Retail Cooperative Network</x:v>
      </x:c>
      <x:c r="C10" s="36" t="n">
        <x:v>106</x:v>
      </x:c>
      <x:c r="D10" s="37" t="n">
        <x:v>15915531.46</x:v>
      </x:c>
      <x:c r="E10" s="38" t="n">
        <x:v>0.02197</x:v>
      </x:c>
      <x:c r="F10" s="38" t="n">
        <x:v>0.7810769999999999</x:v>
      </x:c>
      <x:c r="G10" s="36" t="n">
        <x:v>6</x:v>
      </x:c>
    </x:row>
    <x:row r="11" ht="15" hidden="0" customHeight="1">
      <x:c r="A11" s="35" t="str">
        <x:v>26</x:v>
      </x:c>
      <x:c r="B11" s="35" t="str">
        <x:v>Suburban Retail Chain</x:v>
      </x:c>
      <x:c r="C11" s="36" t="n">
        <x:v>9</x:v>
      </x:c>
      <x:c r="D11" s="37" t="n">
        <x:v>15749424.85</x:v>
      </x:c>
      <x:c r="E11" s="38" t="n">
        <x:v>0.021741</x:v>
      </x:c>
      <x:c r="F11" s="38" t="n">
        <x:v>0.802817</x:v>
      </x:c>
      <x:c r="G11" s="36" t="n">
        <x:v>7</x:v>
      </x:c>
    </x:row>
    <x:row r="12" ht="15" hidden="0" customHeight="1">
      <x:c r="A12" s="35" t="str">
        <x:v>9</x:v>
      </x:c>
      <x:c r="B12" s="35" t="str">
        <x:v>Regional Retail Chain - Tier 3</x:v>
      </x:c>
      <x:c r="C12" s="36" t="n">
        <x:v>15</x:v>
      </x:c>
      <x:c r="D12" s="37" t="n">
        <x:v>14535478.67</x:v>
      </x:c>
      <x:c r="E12" s="38" t="n">
        <x:v>0.020065</x:v>
      </x:c>
      <x:c r="F12" s="38" t="n">
        <x:v>0.822882</x:v>
      </x:c>
      <x:c r="G12" s="36" t="n">
        <x:v>8</x:v>
      </x:c>
    </x:row>
    <x:row r="13" ht="15" hidden="0" customHeight="1">
      <x:c r="A13" s="35" t="str">
        <x:v>18</x:v>
      </x:c>
      <x:c r="B13" s="35" t="str">
        <x:v>Multi-Location Retail Group - Premium Tier</x:v>
      </x:c>
      <x:c r="C13" s="36" t="n">
        <x:v>33</x:v>
      </x:c>
      <x:c r="D13" s="37" t="n">
        <x:v>9146888.63</x:v>
      </x:c>
      <x:c r="E13" s="38" t="n">
        <x:v>0.012626</x:v>
      </x:c>
      <x:c r="F13" s="38" t="n">
        <x:v>0.835509</x:v>
      </x:c>
      <x:c r="G13" s="36" t="n">
        <x:v>9</x:v>
      </x:c>
    </x:row>
    <x:row r="14" ht="15" hidden="0" customHeight="1">
      <x:c r="A14" s="35" t="str">
        <x:v>6</x:v>
      </x:c>
      <x:c r="B14" s="35" t="str">
        <x:v>Commercial Supply Partners</x:v>
      </x:c>
      <x:c r="C14" s="36" t="n">
        <x:v>15</x:v>
      </x:c>
      <x:c r="D14" s="37" t="n">
        <x:v>7371384.56</x:v>
      </x:c>
      <x:c r="E14" s="38" t="n">
        <x:v>0.010176000000000001</x:v>
      </x:c>
      <x:c r="F14" s="38" t="n">
        <x:v>0.845684</x:v>
      </x:c>
      <x:c r="G14" s="36" t="n">
        <x:v>10</x:v>
      </x:c>
    </x:row>
    <x:row r="15" ht="15" hidden="0" customHeight="1">
      <x:c r="A15" s="35" t="str">
        <x:v>36</x:v>
      </x:c>
      <x:c r="B15" s="35" t="str">
        <x:v>Import Distribution Partner</x:v>
      </x:c>
      <x:c r="C15" s="36" t="n">
        <x:v>1</x:v>
      </x:c>
      <x:c r="D15" s="37" t="n">
        <x:v>7275125.35</x:v>
      </x:c>
      <x:c r="E15" s="38" t="n">
        <x:v>0.010043</x:v>
      </x:c>
      <x:c r="F15" s="38" t="n">
        <x:v>0.855727</x:v>
      </x:c>
      <x:c r="G15" s="36" t="n">
        <x:v>11</x:v>
      </x:c>
    </x:row>
    <x:row r="16" ht="15" hidden="0" customHeight="1">
      <x:c r="A16" s="35" t="str">
        <x:v>68</x:v>
      </x:c>
      <x:c r="B16" s="35" t="str">
        <x:v>Regional Multi-Unit Retail Chain</x:v>
      </x:c>
      <x:c r="C16" s="36" t="n">
        <x:v>5</x:v>
      </x:c>
      <x:c r="D16" s="37" t="n">
        <x:v>7240597.7</x:v>
      </x:c>
      <x:c r="E16" s="38" t="n">
        <x:v>0.009995</x:v>
      </x:c>
      <x:c r="F16" s="38" t="n">
        <x:v>0.865722</x:v>
      </x:c>
      <x:c r="G16" s="36" t="n">
        <x:v>12</x:v>
      </x:c>
    </x:row>
    <x:row r="17" ht="15" hidden="0" customHeight="1">
      <x:c r="A17" s="35" t="str">
        <x:v>25</x:v>
      </x:c>
      <x:c r="B17" s="35" t="str">
        <x:v>Premium Specialty Retailer</x:v>
      </x:c>
      <x:c r="C17" s="36" t="n">
        <x:v>4</x:v>
      </x:c>
      <x:c r="D17" s="37" t="n">
        <x:v>7146454.35</x:v>
      </x:c>
      <x:c r="E17" s="38" t="n">
        <x:v>0.009865</x:v>
      </x:c>
      <x:c r="F17" s="38" t="n">
        <x:v>0.875587</x:v>
      </x:c>
      <x:c r="G17" s="36" t="n">
        <x:v>13</x:v>
      </x:c>
    </x:row>
    <x:row r="18" ht="15" hidden="0" customHeight="1">
      <x:c r="A18" s="35" t="str">
        <x:v>29</x:v>
      </x:c>
      <x:c r="B18" s="35" t="str">
        <x:v>Niche Specialty Retailer</x:v>
      </x:c>
      <x:c r="C18" s="36" t="n">
        <x:v>4</x:v>
      </x:c>
      <x:c r="D18" s="37" t="n">
        <x:v>6578110.77</x:v>
      </x:c>
      <x:c r="E18" s="38" t="n">
        <x:v>0.00908</x:v>
      </x:c>
      <x:c r="F18" s="38" t="n">
        <x:v>0.884667</x:v>
      </x:c>
      <x:c r="G18" s="36" t="n">
        <x:v>14</x:v>
      </x:c>
    </x:row>
    <x:row r="19" ht="15" hidden="0" customHeight="1">
      <x:c r="A19" s="35" t="str">
        <x:v>31</x:v>
      </x:c>
      <x:c r="B19" s="35" t="str">
        <x:v>Premium Specialty Operator</x:v>
      </x:c>
      <x:c r="C19" s="36" t="n">
        <x:v>6</x:v>
      </x:c>
      <x:c r="D19" s="37" t="n">
        <x:v>5962857.74</x:v>
      </x:c>
      <x:c r="E19" s="38" t="n">
        <x:v>0.008231</x:v>
      </x:c>
      <x:c r="F19" s="38" t="n">
        <x:v>0.892899</x:v>
      </x:c>
      <x:c r="G19" s="36" t="n">
        <x:v>15</x:v>
      </x:c>
    </x:row>
    <x:row r="20" ht="15" hidden="0" customHeight="1">
      <x:c r="A20" s="35" t="str">
        <x:v>64</x:v>
      </x:c>
      <x:c r="B20" s="35" t="str">
        <x:v>Family-Owned Retail Business</x:v>
      </x:c>
      <x:c r="C20" s="36" t="n">
        <x:v>5</x:v>
      </x:c>
      <x:c r="D20" s="37" t="n">
        <x:v>5661920.63</x:v>
      </x:c>
      <x:c r="E20" s="38" t="n">
        <x:v>0.007816</x:v>
      </x:c>
      <x:c r="F20" s="38" t="n">
        <x:v>0.900714</x:v>
      </x:c>
      <x:c r="G20" s="36" t="n">
        <x:v>16</x:v>
      </x:c>
    </x:row>
    <x:row r="21" ht="15" hidden="0" customHeight="1">
      <x:c r="A21" s="35" t="str">
        <x:v>21</x:v>
      </x:c>
      <x:c r="B21" s="35" t="str">
        <x:v>Discount Retail Chain</x:v>
      </x:c>
      <x:c r="C21" s="36" t="n">
        <x:v>34</x:v>
      </x:c>
      <x:c r="D21" s="37" t="n">
        <x:v>5343073.9</x:v>
      </x:c>
      <x:c r="E21" s="38" t="n">
        <x:v>0.007376000000000001</x:v>
      </x:c>
      <x:c r="F21" s="38" t="n">
        <x:v>0.90809</x:v>
      </x:c>
      <x:c r="G21" s="36" t="n">
        <x:v>17</x:v>
      </x:c>
    </x:row>
    <x:row r="22" ht="15" hidden="0" customHeight="1">
      <x:c r="A22" s="35" t="str">
        <x:v>42</x:v>
      </x:c>
      <x:c r="B22" s="35" t="str">
        <x:v>Independent Distribution Partner</x:v>
      </x:c>
      <x:c r="C22" s="36" t="n">
        <x:v>10</x:v>
      </x:c>
      <x:c r="D22" s="37" t="n">
        <x:v>5087891.8</x:v>
      </x:c>
      <x:c r="E22" s="38" t="n">
        <x:v>0.007023000000000001</x:v>
      </x:c>
      <x:c r="F22" s="38" t="n">
        <x:v>0.9151130000000001</x:v>
      </x:c>
      <x:c r="G22" s="36" t="n">
        <x:v>18</x:v>
      </x:c>
    </x:row>
    <x:row r="23" ht="15" hidden="0" customHeight="1">
      <x:c r="A23" s="35" t="str">
        <x:v>38</x:v>
      </x:c>
      <x:c r="B23" s="35" t="str">
        <x:v>Cooperative Retail Affiliate</x:v>
      </x:c>
      <x:c r="C23" s="36" t="n">
        <x:v>4</x:v>
      </x:c>
      <x:c r="D23" s="37" t="n">
        <x:v>4937000.78</x:v>
      </x:c>
      <x:c r="E23" s="38" t="n">
        <x:v>0.006815</x:v>
      </x:c>
      <x:c r="F23" s="38" t="n">
        <x:v>0.9219280000000001</x:v>
      </x:c>
      <x:c r="G23" s="36" t="n">
        <x:v>19</x:v>
      </x:c>
    </x:row>
    <x:row r="24" ht="15" hidden="0" customHeight="1">
      <x:c r="A24" s="35" t="str">
        <x:v>32</x:v>
      </x:c>
      <x:c r="B24" s="35" t="str">
        <x:v>High-End Urban Retailer</x:v>
      </x:c>
      <x:c r="C24" s="36" t="n">
        <x:v>2</x:v>
      </x:c>
      <x:c r="D24" s="37" t="n">
        <x:v>4697085.43</x:v>
      </x:c>
      <x:c r="E24" s="38" t="n">
        <x:v>0.006484</x:v>
      </x:c>
      <x:c r="F24" s="38" t="n">
        <x:v>0.928412</x:v>
      </x:c>
      <x:c r="G24" s="36" t="n">
        <x:v>20</x:v>
      </x:c>
    </x:row>
    <x:row r="25" ht="15" hidden="0" customHeight="1">
      <x:c r="A25" s="35" t="str">
        <x:v>33</x:v>
      </x:c>
      <x:c r="B25" s="35" t="str">
        <x:v>Regional Specialty Market</x:v>
      </x:c>
      <x:c r="C25" s="36" t="n">
        <x:v>13</x:v>
      </x:c>
      <x:c r="D25" s="37" t="n">
        <x:v>4484414.44</x:v>
      </x:c>
      <x:c r="E25" s="38" t="n">
        <x:v>0.00619</x:v>
      </x:c>
      <x:c r="F25" s="38" t="n">
        <x:v>0.9346030000000001</x:v>
      </x:c>
      <x:c r="G25" s="36" t="n">
        <x:v>21</x:v>
      </x:c>
    </x:row>
    <x:row r="26" ht="15" hidden="0" customHeight="1">
      <x:c r="A26" s="35" t="str">
        <x:v>19</x:v>
      </x:c>
      <x:c r="B26" s="35" t="str">
        <x:v>Neighborhood Retail Group</x:v>
      </x:c>
      <x:c r="C26" s="36" t="n">
        <x:v>11</x:v>
      </x:c>
      <x:c r="D26" s="37" t="n">
        <x:v>3695985.63</x:v>
      </x:c>
      <x:c r="E26" s="38" t="n">
        <x:v>0.005102</x:v>
      </x:c>
      <x:c r="F26" s="38" t="n">
        <x:v>0.939705</x:v>
      </x:c>
      <x:c r="G26" s="36" t="n">
        <x:v>22</x:v>
      </x:c>
    </x:row>
    <x:row r="27" ht="15" hidden="0" customHeight="1">
      <x:c r="A27" s="35" t="str">
        <x:v>30</x:v>
      </x:c>
      <x:c r="B27" s="35" t="str">
        <x:v>International Retail Chain</x:v>
      </x:c>
      <x:c r="C27" s="36" t="n">
        <x:v>2</x:v>
      </x:c>
      <x:c r="D27" s="37" t="n">
        <x:v>3403626.6</x:v>
      </x:c>
      <x:c r="E27" s="38" t="n">
        <x:v>0.004698</x:v>
      </x:c>
      <x:c r="F27" s="38" t="n">
        <x:v>0.9444029999999999</x:v>
      </x:c>
      <x:c r="G27" s="36" t="n">
        <x:v>23</x:v>
      </x:c>
    </x:row>
    <x:row r="28" ht="15" hidden="0" customHeight="1">
      <x:c r="A28" s="35" t="str">
        <x:v>17</x:v>
      </x:c>
      <x:c r="B28" s="35" t="str">
        <x:v>Mid-Size Retail Chain</x:v>
      </x:c>
      <x:c r="C28" s="36" t="n">
        <x:v>30</x:v>
      </x:c>
      <x:c r="D28" s="37" t="n">
        <x:v>3345911.89</x:v>
      </x:c>
      <x:c r="E28" s="38" t="n">
        <x:v>0.004619</x:v>
      </x:c>
      <x:c r="F28" s="38" t="n">
        <x:v>0.9490219999999999</x:v>
      </x:c>
      <x:c r="G28" s="36" t="n">
        <x:v>24</x:v>
      </x:c>
    </x:row>
    <x:row r="29" ht="15" hidden="0" customHeight="1">
      <x:c r="A29" s="35" t="str">
        <x:v>65</x:v>
      </x:c>
      <x:c r="B29" s="35" t="str">
        <x:v>Regional Specialty Retailer</x:v>
      </x:c>
      <x:c r="C29" s="36" t="n">
        <x:v>5</x:v>
      </x:c>
      <x:c r="D29" s="37" t="n">
        <x:v>3237656.49</x:v>
      </x:c>
      <x:c r="E29" s="38" t="n">
        <x:v>0.004469</x:v>
      </x:c>
      <x:c r="F29" s="38" t="n">
        <x:v>0.9534910000000001</x:v>
      </x:c>
      <x:c r="G29" s="36" t="n">
        <x:v>25</x:v>
      </x:c>
    </x:row>
    <x:row r="30" ht="15" hidden="0" customHeight="1">
      <x:c r="A30" s="35" t="str">
        <x:v>27</x:v>
      </x:c>
      <x:c r="B30" s="35" t="str">
        <x:v>Urban Independent Retailer</x:v>
      </x:c>
      <x:c r="C30" s="36" t="n">
        <x:v>6</x:v>
      </x:c>
      <x:c r="D30" s="37" t="n">
        <x:v>3104253.35</x:v>
      </x:c>
      <x:c r="E30" s="38" t="n">
        <x:v>0.004285</x:v>
      </x:c>
      <x:c r="F30" s="38" t="n">
        <x:v>0.9577760000000001</x:v>
      </x:c>
      <x:c r="G30" s="36" t="n">
        <x:v>26</x:v>
      </x:c>
    </x:row>
    <x:row r="31" ht="15" hidden="0" customHeight="1">
      <x:c r="A31" s="35" t="str">
        <x:v>7</x:v>
      </x:c>
      <x:c r="B31" s="35" t="str">
        <x:v>Regional Retail Chain - Tier 1</x:v>
      </x:c>
      <x:c r="C31" s="36" t="n">
        <x:v>17</x:v>
      </x:c>
      <x:c r="D31" s="37" t="n">
        <x:v>2869139.73</x:v>
      </x:c>
      <x:c r="E31" s="38" t="n">
        <x:v>0.003961</x:v>
      </x:c>
      <x:c r="F31" s="38" t="n">
        <x:v>0.961737</x:v>
      </x:c>
      <x:c r="G31" s="36" t="n">
        <x:v>27</x:v>
      </x:c>
    </x:row>
    <x:row r="32" ht="15" hidden="0" customHeight="1">
      <x:c r="A32" s="35" t="str">
        <x:v>23</x:v>
      </x:c>
      <x:c r="B32" s="35" t="str">
        <x:v>Value-Oriented Retail Chain</x:v>
      </x:c>
      <x:c r="C32" s="36" t="n">
        <x:v>27</x:v>
      </x:c>
      <x:c r="D32" s="37" t="n">
        <x:v>2363099.44</x:v>
      </x:c>
      <x:c r="E32" s="38" t="n">
        <x:v>0.0032619999999999997</x:v>
      </x:c>
      <x:c r="F32" s="38" t="n">
        <x:v>0.9649989999999999</x:v>
      </x:c>
      <x:c r="G32" s="36" t="n">
        <x:v>28</x:v>
      </x:c>
    </x:row>
    <x:row r="33" ht="15" hidden="0" customHeight="1">
      <x:c r="A33" s="35" t="str">
        <x:v>40</x:v>
      </x:c>
      <x:c r="B33" s="35" t="str">
        <x:v>Suburban Independent Retailer</x:v>
      </x:c>
      <x:c r="C33" s="36" t="n">
        <x:v>5</x:v>
      </x:c>
      <x:c r="D33" s="37" t="n">
        <x:v>2149081.55</x:v>
      </x:c>
      <x:c r="E33" s="38" t="n">
        <x:v>0.002967</x:v>
      </x:c>
      <x:c r="F33" s="38" t="n">
        <x:v>0.967965</x:v>
      </x:c>
      <x:c r="G33" s="36" t="n">
        <x:v>29</x:v>
      </x:c>
    </x:row>
    <x:row r="34" ht="15" hidden="0" customHeight="1">
      <x:c r="A34" s="35" t="str">
        <x:v>46</x:v>
      </x:c>
      <x:c r="B34" s="35" t="str">
        <x:v>Regional Retail Affiliate</x:v>
      </x:c>
      <x:c r="C34" s="36" t="n">
        <x:v>1</x:v>
      </x:c>
      <x:c r="D34" s="37" t="n">
        <x:v>2061966.55</x:v>
      </x:c>
      <x:c r="E34" s="38" t="n">
        <x:v>0.002846</x:v>
      </x:c>
      <x:c r="F34" s="38" t="n">
        <x:v>0.970812</x:v>
      </x:c>
      <x:c r="G34" s="36" t="n">
        <x:v>30</x:v>
      </x:c>
    </x:row>
    <x:row r="35" ht="15" hidden="0" customHeight="1">
      <x:c r="A35" s="35" t="str">
        <x:v>39</x:v>
      </x:c>
      <x:c r="B35" s="35" t="str">
        <x:v>International Specialty Retailer</x:v>
      </x:c>
      <x:c r="C35" s="36" t="n">
        <x:v>2</x:v>
      </x:c>
      <x:c r="D35" s="37" t="n">
        <x:v>1857690.54</x:v>
      </x:c>
      <x:c r="E35" s="38" t="n">
        <x:v>0.0025640000000000003</x:v>
      </x:c>
      <x:c r="F35" s="38" t="n">
        <x:v>0.9733759999999999</x:v>
      </x:c>
      <x:c r="G35" s="36" t="n">
        <x:v>31</x:v>
      </x:c>
    </x:row>
    <x:row r="36" ht="15" hidden="0" customHeight="1">
      <x:c r="A36" s="35" t="str">
        <x:v>52</x:v>
      </x:c>
      <x:c r="B36" s="35" t="str">
        <x:v>Specialty Goods Retailer</x:v>
      </x:c>
      <x:c r="C36" s="36" t="n">
        <x:v>1</x:v>
      </x:c>
      <x:c r="D36" s="37" t="n">
        <x:v>1574927.65</x:v>
      </x:c>
      <x:c r="E36" s="38" t="n">
        <x:v>0.002174</x:v>
      </x:c>
      <x:c r="F36" s="38" t="n">
        <x:v>0.97555</x:v>
      </x:c>
      <x:c r="G36" s="36" t="n">
        <x:v>32</x:v>
      </x:c>
    </x:row>
    <x:row r="37" ht="15" hidden="0" customHeight="1">
      <x:c r="A37" s="35" t="str">
        <x:v>35</x:v>
      </x:c>
      <x:c r="B37" s="35" t="str">
        <x:v>Regional Multi-Unit Operator</x:v>
      </x:c>
      <x:c r="C37" s="36" t="n">
        <x:v>17</x:v>
      </x:c>
      <x:c r="D37" s="37" t="n">
        <x:v>1277993.16</x:v>
      </x:c>
      <x:c r="E37" s="38" t="n">
        <x:v>0.001764</x:v>
      </x:c>
      <x:c r="F37" s="38" t="n">
        <x:v>0.9773139999999999</x:v>
      </x:c>
      <x:c r="G37" s="36" t="n">
        <x:v>33</x:v>
      </x:c>
    </x:row>
    <x:row r="38" ht="15" hidden="0" customHeight="1">
      <x:c r="A38" s="35" t="str">
        <x:v>41</x:v>
      </x:c>
      <x:c r="B38" s="35" t="str">
        <x:v>Village Retail Operator</x:v>
      </x:c>
      <x:c r="C38" s="36" t="n">
        <x:v>15</x:v>
      </x:c>
      <x:c r="D38" s="37" t="n">
        <x:v>1249581.84</x:v>
      </x:c>
      <x:c r="E38" s="38" t="n">
        <x:v>0.001725</x:v>
      </x:c>
      <x:c r="F38" s="38" t="n">
        <x:v>0.9790389999999999</x:v>
      </x:c>
      <x:c r="G38" s="36" t="n">
        <x:v>34</x:v>
      </x:c>
    </x:row>
    <x:row r="39" ht="15" hidden="0" customHeight="1">
      <x:c r="A39" s="35" t="str">
        <x:v>50</x:v>
      </x:c>
      <x:c r="B39" s="35" t="str">
        <x:v>Farm &amp; Specialty Market</x:v>
      </x:c>
      <x:c r="C39" s="36" t="n">
        <x:v>1</x:v>
      </x:c>
      <x:c r="D39" s="37" t="n">
        <x:v>1154527.22</x:v>
      </x:c>
      <x:c r="E39" s="38" t="n">
        <x:v>0.001594</x:v>
      </x:c>
      <x:c r="F39" s="38" t="n">
        <x:v>0.980633</x:v>
      </x:c>
      <x:c r="G39" s="36" t="n">
        <x:v>35</x:v>
      </x:c>
    </x:row>
    <x:row r="40" ht="15" hidden="0" customHeight="1">
      <x:c r="A40" s="35" t="str">
        <x:v>24</x:v>
      </x:c>
      <x:c r="B40" s="35" t="str">
        <x:v>Metropolitan Retail Group</x:v>
      </x:c>
      <x:c r="C40" s="36" t="n">
        <x:v>6</x:v>
      </x:c>
      <x:c r="D40" s="37" t="n">
        <x:v>1113771.97</x:v>
      </x:c>
      <x:c r="E40" s="38" t="n">
        <x:v>0.001537</x:v>
      </x:c>
      <x:c r="F40" s="38" t="n">
        <x:v>0.98217</x:v>
      </x:c>
      <x:c r="G40" s="36" t="n">
        <x:v>36</x:v>
      </x:c>
    </x:row>
    <x:row r="41" ht="15" hidden="0" customHeight="1">
      <x:c r="A41" s="35" t="str">
        <x:v>20</x:v>
      </x:c>
      <x:c r="B41" s="35" t="str">
        <x:v>Cooperative Member Account</x:v>
      </x:c>
      <x:c r="C41" s="36" t="n">
        <x:v>9</x:v>
      </x:c>
      <x:c r="D41" s="37" t="n">
        <x:v>1033030.15</x:v>
      </x:c>
      <x:c r="E41" s="38" t="n">
        <x:v>0.001426</x:v>
      </x:c>
      <x:c r="F41" s="38" t="n">
        <x:v>0.983596</x:v>
      </x:c>
      <x:c r="G41" s="36" t="n">
        <x:v>37</x:v>
      </x:c>
    </x:row>
    <x:row r="42" ht="15" hidden="0" customHeight="1">
      <x:c r="A42" s="35" t="str">
        <x:v>14</x:v>
      </x:c>
      <x:c r="B42" s="35" t="str">
        <x:v>Specialty Retail - Small Format</x:v>
      </x:c>
      <x:c r="C42" s="36" t="n">
        <x:v>25</x:v>
      </x:c>
      <x:c r="D42" s="37" t="n">
        <x:v>1012865.76</x:v>
      </x:c>
      <x:c r="E42" s="38" t="n">
        <x:v>0.0013980000000000002</x:v>
      </x:c>
      <x:c r="F42" s="38" t="n">
        <x:v>0.984995</x:v>
      </x:c>
      <x:c r="G42" s="36" t="n">
        <x:v>38</x:v>
      </x:c>
    </x:row>
    <x:row r="43" ht="15" hidden="0" customHeight="1">
      <x:c r="A43" s="35" t="str">
        <x:v>43</x:v>
      </x:c>
      <x:c r="B43" s="35" t="str">
        <x:v>Event &amp; Promotional Accounts</x:v>
      </x:c>
      <x:c r="C43" s="36" t="n">
        <x:v>8</x:v>
      </x:c>
      <x:c r="D43" s="37" t="n">
        <x:v>971103.35</x:v>
      </x:c>
      <x:c r="E43" s="38" t="n">
        <x:v>0.001341</x:v>
      </x:c>
      <x:c r="F43" s="38" t="n">
        <x:v>0.986335</x:v>
      </x:c>
      <x:c r="G43" s="36" t="n">
        <x:v>39</x:v>
      </x:c>
    </x:row>
    <x:row r="44" ht="15" hidden="0" customHeight="1">
      <x:c r="A44" s="35" t="str">
        <x:v>55</x:v>
      </x:c>
      <x:c r="B44" s="35" t="str">
        <x:v>Large Regional Retail Chain</x:v>
      </x:c>
      <x:c r="C44" s="36" t="n">
        <x:v>12</x:v>
      </x:c>
      <x:c r="D44" s="37" t="n">
        <x:v>919618.29</x:v>
      </x:c>
      <x:c r="E44" s="38" t="n">
        <x:v>0.0012690000000000002</x:v>
      </x:c>
      <x:c r="F44" s="38" t="n">
        <x:v>0.987605</x:v>
      </x:c>
      <x:c r="G44" s="36" t="n">
        <x:v>40</x:v>
      </x:c>
    </x:row>
    <x:row r="45" ht="15" hidden="0" customHeight="1">
      <x:c r="A45" s="35" t="str">
        <x:v>48</x:v>
      </x:c>
      <x:c r="B45" s="35" t="str">
        <x:v>Specialty Beverage Retailer</x:v>
      </x:c>
      <x:c r="C45" s="36" t="n">
        <x:v>12</x:v>
      </x:c>
      <x:c r="D45" s="37" t="n">
        <x:v>809854.32</x:v>
      </x:c>
      <x:c r="E45" s="38" t="n">
        <x:v>0.001118</x:v>
      </x:c>
      <x:c r="F45" s="38" t="n">
        <x:v>0.9887229999999999</x:v>
      </x:c>
      <x:c r="G45" s="36" t="n">
        <x:v>41</x:v>
      </x:c>
    </x:row>
    <x:row r="46" ht="15" hidden="0" customHeight="1">
      <x:c r="A46" s="35" t="str">
        <x:v>61</x:v>
      </x:c>
      <x:c r="B46" s="35" t="str">
        <x:v>Commercial Supply Vendor</x:v>
      </x:c>
      <x:c r="C46" s="36" t="n">
        <x:v>1</x:v>
      </x:c>
      <x:c r="D46" s="37" t="n">
        <x:v>792457.42</x:v>
      </x:c>
      <x:c r="E46" s="38" t="n">
        <x:v>0.001094</x:v>
      </x:c>
      <x:c r="F46" s="38" t="n">
        <x:v>0.989816</x:v>
      </x:c>
      <x:c r="G46" s="36" t="n">
        <x:v>42</x:v>
      </x:c>
    </x:row>
    <x:row r="47" ht="15" hidden="0" customHeight="1">
      <x:c r="A47" s="35" t="str">
        <x:v>63</x:v>
      </x:c>
      <x:c r="B47" s="35" t="str">
        <x:v>Destination Retail Location</x:v>
      </x:c>
      <x:c r="C47" s="36" t="n">
        <x:v>8</x:v>
      </x:c>
      <x:c r="D47" s="37" t="n">
        <x:v>775403.37</x:v>
      </x:c>
      <x:c r="E47" s="38" t="n">
        <x:v>0.00107</x:v>
      </x:c>
      <x:c r="F47" s="38" t="n">
        <x:v>0.9908870000000001</x:v>
      </x:c>
      <x:c r="G47" s="36" t="n">
        <x:v>43</x:v>
      </x:c>
    </x:row>
    <x:row r="48" ht="15" hidden="0" customHeight="1">
      <x:c r="A48" s="35" t="str">
        <x:v>59</x:v>
      </x:c>
      <x:c r="B48" s="35" t="str">
        <x:v>Import Marketplace Partner</x:v>
      </x:c>
      <x:c r="C48" s="36" t="n">
        <x:v>2</x:v>
      </x:c>
      <x:c r="D48" s="37" t="n">
        <x:v>706163.08</x:v>
      </x:c>
      <x:c r="E48" s="38" t="n">
        <x:v>0.0009750000000000001</x:v>
      </x:c>
      <x:c r="F48" s="38" t="n">
        <x:v>0.991862</x:v>
      </x:c>
      <x:c r="G48" s="36" t="n">
        <x:v>44</x:v>
      </x:c>
    </x:row>
    <x:row r="49" ht="15" hidden="0" customHeight="1">
      <x:c r="A49" s="35" t="str">
        <x:v>11</x:v>
      </x:c>
      <x:c r="B49" s="35" t="str">
        <x:v>Manufacturing Partners</x:v>
      </x:c>
      <x:c r="C49" s="36" t="n">
        <x:v>18</x:v>
      </x:c>
      <x:c r="D49" s="37" t="n">
        <x:v>696976.82</x:v>
      </x:c>
      <x:c r="E49" s="38" t="n">
        <x:v>0.000962</x:v>
      </x:c>
      <x:c r="F49" s="38" t="n">
        <x:v>0.9928239999999999</x:v>
      </x:c>
      <x:c r="G49" s="36" t="n">
        <x:v>45</x:v>
      </x:c>
    </x:row>
    <x:row r="50" ht="15" hidden="0" customHeight="1">
      <x:c r="A50" s="35" t="str">
        <x:v>53</x:v>
      </x:c>
      <x:c r="B50" s="35" t="str">
        <x:v>Wine &amp; Spirits Retailer</x:v>
      </x:c>
      <x:c r="C50" s="36" t="n">
        <x:v>4</x:v>
      </x:c>
      <x:c r="D50" s="37" t="n">
        <x:v>541469.86</x:v>
      </x:c>
      <x:c r="E50" s="38" t="n">
        <x:v>0.000747</x:v>
      </x:c>
      <x:c r="F50" s="38" t="n">
        <x:v>0.993571</x:v>
      </x:c>
      <x:c r="G50" s="36" t="n">
        <x:v>46</x:v>
      </x:c>
    </x:row>
    <x:row r="51" ht="15" hidden="0" customHeight="1">
      <x:c r="A51" s="35" t="str">
        <x:v>56</x:v>
      </x:c>
      <x:c r="B51" s="35" t="str">
        <x:v>National Retail Affiliate</x:v>
      </x:c>
      <x:c r="C51" s="36" t="n">
        <x:v>8</x:v>
      </x:c>
      <x:c r="D51" s="37" t="n">
        <x:v>533909.42</x:v>
      </x:c>
      <x:c r="E51" s="38" t="n">
        <x:v>0.000737</x:v>
      </x:c>
      <x:c r="F51" s="38" t="n">
        <x:v>0.9943080000000001</x:v>
      </x:c>
      <x:c r="G51" s="36" t="n">
        <x:v>47</x:v>
      </x:c>
    </x:row>
    <x:row r="52" ht="15" hidden="0" customHeight="1">
      <x:c r="A52" s="35" t="str">
        <x:v>45</x:v>
      </x:c>
      <x:c r="B52" s="35" t="str">
        <x:v>Boutique Retail Operator</x:v>
      </x:c>
      <x:c r="C52" s="36" t="n">
        <x:v>2</x:v>
      </x:c>
      <x:c r="D52" s="37" t="n">
        <x:v>502991.19</x:v>
      </x:c>
      <x:c r="E52" s="38" t="n">
        <x:v>0.0006940000000000001</x:v>
      </x:c>
      <x:c r="F52" s="38" t="n">
        <x:v>0.995002</x:v>
      </x:c>
      <x:c r="G52" s="36" t="n">
        <x:v>48</x:v>
      </x:c>
    </x:row>
    <x:row r="53" ht="15" hidden="0" customHeight="1">
      <x:c r="A53" s="35" t="str">
        <x:v>22</x:v>
      </x:c>
      <x:c r="B53" s="35" t="str">
        <x:v>Institutional Buyer</x:v>
      </x:c>
      <x:c r="C53" s="36" t="n">
        <x:v>4</x:v>
      </x:c>
      <x:c r="D53" s="37" t="n">
        <x:v>473483.57</x:v>
      </x:c>
      <x:c r="E53" s="38" t="n">
        <x:v>0.000654</x:v>
      </x:c>
      <x:c r="F53" s="38" t="n">
        <x:v>0.995656</x:v>
      </x:c>
      <x:c r="G53" s="36" t="n">
        <x:v>49</x:v>
      </x:c>
    </x:row>
    <x:row r="54" ht="15" hidden="0" customHeight="1">
      <x:c r="A54" s="35" t="str">
        <x:v>37</x:v>
      </x:c>
      <x:c r="B54" s="35" t="str">
        <x:v>Legacy Customer</x:v>
      </x:c>
      <x:c r="C54" s="36" t="n">
        <x:v>1</x:v>
      </x:c>
      <x:c r="D54" s="37" t="n">
        <x:v>463251.08</x:v>
      </x:c>
      <x:c r="E54" s="38" t="n">
        <x:v>0.000639</x:v>
      </x:c>
      <x:c r="F54" s="38" t="n">
        <x:v>0.996296</x:v>
      </x:c>
      <x:c r="G54" s="36" t="n">
        <x:v>50</x:v>
      </x:c>
    </x:row>
    <x:row r="55" ht="15" hidden="0" customHeight="1">
      <x:c r="A55" s="35" t="str">
        <x:v>34</x:v>
      </x:c>
      <x:c r="B55" s="35" t="str">
        <x:v>Urban Boutique Retailer</x:v>
      </x:c>
      <x:c r="C55" s="36" t="n">
        <x:v>5</x:v>
      </x:c>
      <x:c r="D55" s="37" t="n">
        <x:v>338972.77</x:v>
      </x:c>
      <x:c r="E55" s="38" t="n">
        <x:v>0.000468</x:v>
      </x:c>
      <x:c r="F55" s="38" t="n">
        <x:v>0.996763</x:v>
      </x:c>
      <x:c r="G55" s="36" t="n">
        <x:v>51</x:v>
      </x:c>
    </x:row>
    <x:row r="56" ht="15" hidden="0" customHeight="1">
      <x:c r="A56" s="35" t="str">
        <x:v>51</x:v>
      </x:c>
      <x:c r="B56" s="35" t="str">
        <x:v>Franchise Retail Member</x:v>
      </x:c>
      <x:c r="C56" s="36" t="n">
        <x:v>3</x:v>
      </x:c>
      <x:c r="D56" s="37" t="n">
        <x:v>313946.26</x:v>
      </x:c>
      <x:c r="E56" s="38" t="n">
        <x:v>0.000433</x:v>
      </x:c>
      <x:c r="F56" s="38" t="n">
        <x:v>0.997197</x:v>
      </x:c>
      <x:c r="G56" s="36" t="n">
        <x:v>52</x:v>
      </x:c>
    </x:row>
    <x:row r="57" ht="15" hidden="0" customHeight="1">
      <x:c r="A57" s="35" t="str">
        <x:v>99</x:v>
      </x:c>
      <x:c r="B57" s="35" t="str">
        <x:v>Inactive / Closed Accounts</x:v>
      </x:c>
      <x:c r="C57" s="36" t="n">
        <x:v>10</x:v>
      </x:c>
      <x:c r="D57" s="37" t="n">
        <x:v>312852.08</x:v>
      </x:c>
      <x:c r="E57" s="38" t="n">
        <x:v>0.00043200000000000004</x:v>
      </x:c>
      <x:c r="F57" s="38" t="n">
        <x:v>0.997629</x:v>
      </x:c>
      <x:c r="G57" s="36" t="n">
        <x:v>53</x:v>
      </x:c>
    </x:row>
    <x:row r="58" ht="15" hidden="0" customHeight="1">
      <x:c r="A58" s="35" t="str">
        <x:v>47</x:v>
      </x:c>
      <x:c r="B58" s="35" t="str">
        <x:v>Direct-to-Consumer Channel</x:v>
      </x:c>
      <x:c r="C58" s="36" t="n">
        <x:v>32</x:v>
      </x:c>
      <x:c r="D58" s="37" t="n">
        <x:v>307560.26</x:v>
      </x:c>
      <x:c r="E58" s="38" t="n">
        <x:v>0.00042500000000000003</x:v>
      </x:c>
      <x:c r="F58" s="38" t="n">
        <x:v>0.9980530000000001</x:v>
      </x:c>
      <x:c r="G58" s="36" t="n">
        <x:v>54</x:v>
      </x:c>
    </x:row>
    <x:row r="59" ht="15" hidden="0" customHeight="1">
      <x:c r="A59" s="35" t="str">
        <x:v>28</x:v>
      </x:c>
      <x:c r="B59" s="35" t="str">
        <x:v>Corporate Retail Group</x:v>
      </x:c>
      <x:c r="C59" s="36" t="n">
        <x:v>29</x:v>
      </x:c>
      <x:c r="D59" s="37" t="n">
        <x:v>281526.08</x:v>
      </x:c>
      <x:c r="E59" s="38" t="n">
        <x:v>0.00038899999999999997</x:v>
      </x:c>
      <x:c r="F59" s="38" t="n">
        <x:v>0.998442</x:v>
      </x:c>
      <x:c r="G59" s="36" t="n">
        <x:v>55</x:v>
      </x:c>
    </x:row>
    <x:row r="60" ht="15" hidden="0" customHeight="1">
      <x:c r="A60" s="35" t="str">
        <x:v>62</x:v>
      </x:c>
      <x:c r="B60" s="35" t="str">
        <x:v>Convenience Retail Group</x:v>
      </x:c>
      <x:c r="C60" s="36" t="n">
        <x:v>5</x:v>
      </x:c>
      <x:c r="D60" s="37" t="n">
        <x:v>275677.68</x:v>
      </x:c>
      <x:c r="E60" s="38" t="n">
        <x:v>0.00038100000000000005</x:v>
      </x:c>
      <x:c r="F60" s="38" t="n">
        <x:v>0.998822</x:v>
      </x:c>
      <x:c r="G60" s="36" t="n">
        <x:v>56</x:v>
      </x:c>
    </x:row>
    <x:row r="61" ht="15" hidden="0" customHeight="1">
      <x:c r="A61" s="35" t="str">
        <x:v>57</x:v>
      </x:c>
      <x:c r="B61" s="35" t="str">
        <x:v>National Retail Affiliate - Secondary</x:v>
      </x:c>
      <x:c r="C61" s="36" t="n">
        <x:v>4</x:v>
      </x:c>
      <x:c r="D61" s="37" t="n">
        <x:v>250449.99</x:v>
      </x:c>
      <x:c r="E61" s="38" t="n">
        <x:v>0.000346</x:v>
      </x:c>
      <x:c r="F61" s="38" t="n">
        <x:v>0.999168</x:v>
      </x:c>
      <x:c r="G61" s="36" t="n">
        <x:v>57</x:v>
      </x:c>
    </x:row>
    <x:row r="62" ht="15" hidden="0" customHeight="1">
      <x:c r="A62" s="35" t="str">
        <x:v>12</x:v>
      </x:c>
      <x:c r="B62" s="35" t="str">
        <x:v>High-Volume Distribution Partner</x:v>
      </x:c>
      <x:c r="C62" s="36" t="n">
        <x:v>2</x:v>
      </x:c>
      <x:c r="D62" s="37" t="n">
        <x:v>191448.08</x:v>
      </x:c>
      <x:c r="E62" s="38" t="n">
        <x:v>0.000264</x:v>
      </x:c>
      <x:c r="F62" s="38" t="n">
        <x:v>0.9994320000000001</x:v>
      </x:c>
      <x:c r="G62" s="36" t="n">
        <x:v>58</x:v>
      </x:c>
    </x:row>
    <x:row r="63" ht="15" hidden="0" customHeight="1">
      <x:c r="A63" s="35" t="str">
        <x:v>70</x:v>
      </x:c>
      <x:c r="B63" s="35" t="str">
        <x:v>Miscellaneous Trade Accounts</x:v>
      </x:c>
      <x:c r="C63" s="36" t="n">
        <x:v>1</x:v>
      </x:c>
      <x:c r="D63" s="37" t="n">
        <x:v>154905.67</x:v>
      </x:c>
      <x:c r="E63" s="38" t="n">
        <x:v>0.000214</x:v>
      </x:c>
      <x:c r="F63" s="38" t="n">
        <x:v>0.999646</x:v>
      </x:c>
      <x:c r="G63" s="36" t="n">
        <x:v>59</x:v>
      </x:c>
    </x:row>
    <x:row r="64" ht="15" hidden="0" customHeight="1">
      <x:c r="A64" s="35" t="str">
        <x:v>58</x:v>
      </x:c>
      <x:c r="B64" s="35" t="str">
        <x:v>Specialty Distribution Partner</x:v>
      </x:c>
      <x:c r="C64" s="36" t="n">
        <x:v>1</x:v>
      </x:c>
      <x:c r="D64" s="37" t="n">
        <x:v>142503.71</x:v>
      </x:c>
      <x:c r="E64" s="38" t="n">
        <x:v>0.000197</x:v>
      </x:c>
      <x:c r="F64" s="38" t="n">
        <x:v>0.999843</x:v>
      </x:c>
      <x:c r="G64" s="36" t="n">
        <x:v>60</x:v>
      </x:c>
    </x:row>
    <x:row r="65" ht="15" hidden="0" customHeight="1">
      <x:c r="A65" s="35" t="str">
        <x:v>1</x:v>
      </x:c>
      <x:c r="B65" s="35" t="str">
        <x:v>Unassigned</x:v>
      </x:c>
      <x:c r="C65" s="36" t="n">
        <x:v>16</x:v>
      </x:c>
      <x:c r="D65" s="37" t="n">
        <x:v>59751.37</x:v>
      </x:c>
      <x:c r="E65" s="38" t="n">
        <x:v>0.000082</x:v>
      </x:c>
      <x:c r="F65" s="38" t="n">
        <x:v>0.9999250000000001</x:v>
      </x:c>
      <x:c r="G65" s="36" t="n">
        <x:v>61</x:v>
      </x:c>
    </x:row>
    <x:row r="66" ht="15" hidden="0" customHeight="1">
      <x:c r="A66" s="35" t="str">
        <x:v>67</x:v>
      </x:c>
      <x:c r="B66" s="35" t="str">
        <x:v>Midwest Specialty Operator</x:v>
      </x:c>
      <x:c r="C66" s="36" t="n">
        <x:v>1</x:v>
      </x:c>
      <x:c r="D66" s="37" t="n">
        <x:v>30097.27</x:v>
      </x:c>
      <x:c r="E66" s="38" t="n">
        <x:v>0.000042</x:v>
      </x:c>
      <x:c r="F66" s="38" t="n">
        <x:v>0.999967</x:v>
      </x:c>
      <x:c r="G66" s="36" t="n">
        <x:v>62</x:v>
      </x:c>
    </x:row>
    <x:row r="67" ht="15" hidden="0" customHeight="1">
      <x:c r="A67" s="35" t="str">
        <x:v>66</x:v>
      </x:c>
      <x:c r="B67" s="35" t="str">
        <x:v>Independent Neighborhood Retailer</x:v>
      </x:c>
      <x:c r="C67" s="36" t="n">
        <x:v>4</x:v>
      </x:c>
      <x:c r="D67" s="37" t="n">
        <x:v>23245.28</x:v>
      </x:c>
      <x:c r="E67" s="38" t="n">
        <x:v>0.000032</x:v>
      </x:c>
      <x:c r="F67" s="38" t="n">
        <x:v>0.999999</x:v>
      </x:c>
      <x:c r="G67" s="36" t="n">
        <x:v>63</x:v>
      </x:c>
    </x:row>
    <x:row r="68" ht="15" hidden="0" customHeight="1">
      <x:c r="A68" s="35" t="str">
        <x:v>10</x:v>
      </x:c>
      <x:c r="B68" s="35" t="str">
        <x:v>Unassigned - Legacy</x:v>
      </x:c>
      <x:c r="C68" s="36" t="n">
        <x:v>1</x:v>
      </x:c>
      <x:c r="D68" s="37" t="n">
        <x:v>640.54</x:v>
      </x:c>
      <x:c r="E68" s="38" t="n">
        <x:v>0.000001</x:v>
      </x:c>
      <x:c r="F68" s="38" t="n">
        <x:v>1</x:v>
      </x:c>
      <x:c r="G68" s="36" t="n">
        <x:v>64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01a1898282c1460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4" hidden="0" customWidth="1"/>
    <x:col min="3" max="3" width="15.25" hidden="0" customWidth="1"/>
    <x:col min="4" max="4" width="16.25" hidden="0" customWidth="1"/>
    <x:col min="5" max="5" width="16.3799991607666" hidden="0" customWidth="1"/>
    <x:col min="6" max="6" width="16.75" hidden="0" customWidth="1"/>
    <x:col min="7" max="7" width="18.3799991607666" hidden="0" customWidth="1"/>
    <x:col min="8" max="8" width="24.3799991607666" hidden="0" customWidth="1"/>
    <x:col min="9" max="9" width="15.5" hidden="0" customWidth="1"/>
    <x:col min="10" max="10" width="16.5" hidden="0" customWidth="1"/>
    <x:col min="11" max="11" width="15.25" hidden="0" customWidth="1"/>
    <x:col min="12" max="12" width="21.75" hidden="0" customWidth="1"/>
  </x:cols>
  <x:sheetData>
    <x:row r="1" ht="32" customHeight="1">
      <x:c r="A1" s="3" t="str">
        <x:v>Retention Risk by Customer Segment</x:v>
      </x:c>
    </x:row>
    <x:row r="2" ht="24" customHeight="1">
      <x:c r="A2" s="6" t="str">
        <x:v>Risky customers include Watch, At Risk, and Dormant lifecycle groups</x:v>
      </x:c>
    </x:row>
    <x:row r="4" ht="15" hidden="0" customHeight="1">
      <x:c r="A4" s="34" t="str">
        <x:v>Customer Class</x:v>
      </x:c>
      <x:c r="B4" s="34" t="str">
        <x:v>Customer Class Description</x:v>
      </x:c>
      <x:c r="C4" s="34" t="str">
        <x:v>Total Customers</x:v>
      </x:c>
      <x:c r="D4" s="34" t="str">
        <x:v>Active Customers</x:v>
      </x:c>
      <x:c r="E4" s="34" t="str">
        <x:v>Watch Customers</x:v>
      </x:c>
      <x:c r="F4" s="34" t="str">
        <x:v>At Risk Customers</x:v>
      </x:c>
      <x:c r="G4" s="34" t="str">
        <x:v>Dormant Customers</x:v>
      </x:c>
      <x:c r="H4" s="34" t="str">
        <x:v>No Positive Sales Customers</x:v>
      </x:c>
      <x:c r="I4" s="34" t="str">
        <x:v>Risky Customers</x:v>
      </x:c>
      <x:c r="J4" s="34" t="str">
        <x:v>Risky Customer %</x:v>
      </x:c>
      <x:c r="K4" s="34" t="str">
        <x:v>Revenue At Risk</x:v>
      </x:c>
      <x:c r="L4" s="34" t="str">
        <x:v>Revenue At Risk Share %</x:v>
      </x:c>
    </x:row>
    <x:row r="5" ht="15" hidden="0" customHeight="1">
      <x:c r="A5" s="35" t="str">
        <x:v>2</x:v>
      </x:c>
      <x:c r="B5" s="35" t="str">
        <x:v>Independent Retail Accounts</x:v>
      </x:c>
      <x:c r="C5" s="35" t="n">
        <x:v>1634</x:v>
      </x:c>
      <x:c r="D5" s="35" t="n">
        <x:v>867</x:v>
      </x:c>
      <x:c r="E5" s="35" t="n">
        <x:v>40</x:v>
      </x:c>
      <x:c r="F5" s="35" t="n">
        <x:v>81</x:v>
      </x:c>
      <x:c r="G5" s="35" t="n">
        <x:v>646</x:v>
      </x:c>
      <x:c r="H5" s="35" t="n">
        <x:v>0</x:v>
      </x:c>
      <x:c r="I5" s="35" t="n">
        <x:v>767</x:v>
      </x:c>
      <x:c r="J5" s="38" t="n">
        <x:v>0.4694</x:v>
      </x:c>
      <x:c r="K5" s="37" t="n">
        <x:v>9843836.39</x:v>
      </x:c>
      <x:c r="L5" s="38" t="n">
        <x:v>0.42710000000000004</x:v>
      </x:c>
    </x:row>
    <x:row r="6" ht="15" hidden="0" customHeight="1">
      <x:c r="A6" s="35" t="str">
        <x:v>4</x:v>
      </x:c>
      <x:c r="B6" s="35" t="str">
        <x:v>Commercial Service Accounts</x:v>
      </x:c>
      <x:c r="C6" s="35" t="n">
        <x:v>464</x:v>
      </x:c>
      <x:c r="D6" s="35" t="n">
        <x:v>174</x:v>
      </x:c>
      <x:c r="E6" s="35" t="n">
        <x:v>24</x:v>
      </x:c>
      <x:c r="F6" s="35" t="n">
        <x:v>31</x:v>
      </x:c>
      <x:c r="G6" s="35" t="n">
        <x:v>235</x:v>
      </x:c>
      <x:c r="H6" s="35" t="n">
        <x:v>0</x:v>
      </x:c>
      <x:c r="I6" s="35" t="n">
        <x:v>290</x:v>
      </x:c>
      <x:c r="J6" s="38" t="n">
        <x:v>0.625</x:v>
      </x:c>
      <x:c r="K6" s="37" t="n">
        <x:v>3475443.63</x:v>
      </x:c>
      <x:c r="L6" s="38" t="n">
        <x:v>0.1508</x:v>
      </x:c>
    </x:row>
    <x:row r="7" ht="15" hidden="0" customHeight="1">
      <x:c r="A7" s="35" t="str">
        <x:v>5</x:v>
      </x:c>
      <x:c r="B7" s="35" t="str">
        <x:v>Wholesale Trade Accounts</x:v>
      </x:c>
      <x:c r="C7" s="35" t="n">
        <x:v>357</x:v>
      </x:c>
      <x:c r="D7" s="35" t="n">
        <x:v>195</x:v>
      </x:c>
      <x:c r="E7" s="35" t="n">
        <x:v>11</x:v>
      </x:c>
      <x:c r="F7" s="35" t="n">
        <x:v>23</x:v>
      </x:c>
      <x:c r="G7" s="35" t="n">
        <x:v>128</x:v>
      </x:c>
      <x:c r="H7" s="35" t="n">
        <x:v>0</x:v>
      </x:c>
      <x:c r="I7" s="35" t="n">
        <x:v>162</x:v>
      </x:c>
      <x:c r="J7" s="38" t="n">
        <x:v>0.45380000000000004</x:v>
      </x:c>
      <x:c r="K7" s="37" t="n">
        <x:v>2650396.12</x:v>
      </x:c>
      <x:c r="L7" s="38" t="n">
        <x:v>0.115</x:v>
      </x:c>
    </x:row>
    <x:row r="8" ht="15" hidden="0" customHeight="1">
      <x:c r="A8" s="35" t="str">
        <x:v>17</x:v>
      </x:c>
      <x:c r="B8" s="35" t="str">
        <x:v>Mid-Size Retail Chain</x:v>
      </x:c>
      <x:c r="C8" s="35" t="n">
        <x:v>30</x:v>
      </x:c>
      <x:c r="D8" s="35" t="n">
        <x:v>0</x:v>
      </x:c>
      <x:c r="E8" s="35" t="n">
        <x:v>0</x:v>
      </x:c>
      <x:c r="F8" s="35" t="n">
        <x:v>0</x:v>
      </x:c>
      <x:c r="G8" s="35" t="n">
        <x:v>30</x:v>
      </x:c>
      <x:c r="H8" s="35" t="n">
        <x:v>0</x:v>
      </x:c>
      <x:c r="I8" s="35" t="n">
        <x:v>30</x:v>
      </x:c>
      <x:c r="J8" s="38" t="n">
        <x:v>1</x:v>
      </x:c>
      <x:c r="K8" s="37" t="n">
        <x:v>1481781.63</x:v>
      </x:c>
      <x:c r="L8" s="38" t="n">
        <x:v>0.0643</x:v>
      </x:c>
    </x:row>
    <x:row r="9" ht="15" hidden="0" customHeight="1">
      <x:c r="A9" s="35" t="str">
        <x:v>7</x:v>
      </x:c>
      <x:c r="B9" s="35" t="str">
        <x:v>Regional Retail Chain - Tier 1</x:v>
      </x:c>
      <x:c r="C9" s="35" t="n">
        <x:v>16</x:v>
      </x:c>
      <x:c r="D9" s="35" t="n">
        <x:v>0</x:v>
      </x:c>
      <x:c r="E9" s="35" t="n">
        <x:v>0</x:v>
      </x:c>
      <x:c r="F9" s="35" t="n">
        <x:v>0</x:v>
      </x:c>
      <x:c r="G9" s="35" t="n">
        <x:v>16</x:v>
      </x:c>
      <x:c r="H9" s="35" t="n">
        <x:v>0</x:v>
      </x:c>
      <x:c r="I9" s="35" t="n">
        <x:v>16</x:v>
      </x:c>
      <x:c r="J9" s="38" t="n">
        <x:v>1</x:v>
      </x:c>
      <x:c r="K9" s="37" t="n">
        <x:v>992975.91</x:v>
      </x:c>
      <x:c r="L9" s="38" t="n">
        <x:v>0.0431</x:v>
      </x:c>
    </x:row>
    <x:row r="10" ht="15" hidden="0" customHeight="1">
      <x:c r="A10" s="35" t="str">
        <x:v>3</x:v>
      </x:c>
      <x:c r="B10" s="35" t="str">
        <x:v>National Retail Chains</x:v>
      </x:c>
      <x:c r="C10" s="35" t="n">
        <x:v>107</x:v>
      </x:c>
      <x:c r="D10" s="35" t="n">
        <x:v>44</x:v>
      </x:c>
      <x:c r="E10" s="35" t="n">
        <x:v>9</x:v>
      </x:c>
      <x:c r="F10" s="35" t="n">
        <x:v>10</x:v>
      </x:c>
      <x:c r="G10" s="35" t="n">
        <x:v>44</x:v>
      </x:c>
      <x:c r="H10" s="35" t="n">
        <x:v>0</x:v>
      </x:c>
      <x:c r="I10" s="35" t="n">
        <x:v>63</x:v>
      </x:c>
      <x:c r="J10" s="38" t="n">
        <x:v>0.5888</x:v>
      </x:c>
      <x:c r="K10" s="37" t="n">
        <x:v>908120.45</x:v>
      </x:c>
      <x:c r="L10" s="38" t="n">
        <x:v>0.0394</x:v>
      </x:c>
    </x:row>
    <x:row r="11" ht="15" hidden="0" customHeight="1">
      <x:c r="A11" s="35" t="str">
        <x:v>6</x:v>
      </x:c>
      <x:c r="B11" s="35" t="str">
        <x:v>Commercial Supply Partners</x:v>
      </x:c>
      <x:c r="C11" s="35" t="n">
        <x:v>15</x:v>
      </x:c>
      <x:c r="D11" s="35" t="n">
        <x:v>7</x:v>
      </x:c>
      <x:c r="E11" s="35" t="n">
        <x:v>1</x:v>
      </x:c>
      <x:c r="F11" s="35" t="n">
        <x:v>1</x:v>
      </x:c>
      <x:c r="G11" s="35" t="n">
        <x:v>6</x:v>
      </x:c>
      <x:c r="H11" s="35" t="n">
        <x:v>0</x:v>
      </x:c>
      <x:c r="I11" s="35" t="n">
        <x:v>8</x:v>
      </x:c>
      <x:c r="J11" s="38" t="n">
        <x:v>0.5333</x:v>
      </x:c>
      <x:c r="K11" s="37" t="n">
        <x:v>731968.21</x:v>
      </x:c>
      <x:c r="L11" s="38" t="n">
        <x:v>0.0318</x:v>
      </x:c>
    </x:row>
    <x:row r="12" ht="15" hidden="0" customHeight="1">
      <x:c r="A12" s="35" t="str">
        <x:v>9</x:v>
      </x:c>
      <x:c r="B12" s="35" t="str">
        <x:v>Regional Retail Chain - Tier 3</x:v>
      </x:c>
      <x:c r="C12" s="35" t="n">
        <x:v>15</x:v>
      </x:c>
      <x:c r="D12" s="35" t="n">
        <x:v>11</x:v>
      </x:c>
      <x:c r="E12" s="35" t="n">
        <x:v>0</x:v>
      </x:c>
      <x:c r="F12" s="35" t="n">
        <x:v>0</x:v>
      </x:c>
      <x:c r="G12" s="35" t="n">
        <x:v>4</x:v>
      </x:c>
      <x:c r="H12" s="35" t="n">
        <x:v>0</x:v>
      </x:c>
      <x:c r="I12" s="35" t="n">
        <x:v>4</x:v>
      </x:c>
      <x:c r="J12" s="38" t="n">
        <x:v>0.2667</x:v>
      </x:c>
      <x:c r="K12" s="37" t="n">
        <x:v>375003.37</x:v>
      </x:c>
      <x:c r="L12" s="38" t="n">
        <x:v>0.0163</x:v>
      </x:c>
    </x:row>
    <x:row r="13" ht="15" hidden="0" customHeight="1">
      <x:c r="A13" s="35" t="str">
        <x:v>8</x:v>
      </x:c>
      <x:c r="B13" s="35" t="str">
        <x:v>Regional Retail Chain - Tier 2</x:v>
      </x:c>
      <x:c r="C13" s="35" t="n">
        <x:v>18</x:v>
      </x:c>
      <x:c r="D13" s="35" t="n">
        <x:v>13</x:v>
      </x:c>
      <x:c r="E13" s="35" t="n">
        <x:v>0</x:v>
      </x:c>
      <x:c r="F13" s="35" t="n">
        <x:v>2</x:v>
      </x:c>
      <x:c r="G13" s="35" t="n">
        <x:v>3</x:v>
      </x:c>
      <x:c r="H13" s="35" t="n">
        <x:v>0</x:v>
      </x:c>
      <x:c r="I13" s="35" t="n">
        <x:v>5</x:v>
      </x:c>
      <x:c r="J13" s="38" t="n">
        <x:v>0.2778</x:v>
      </x:c>
      <x:c r="K13" s="37" t="n">
        <x:v>342393.25</x:v>
      </x:c>
      <x:c r="L13" s="38" t="n">
        <x:v>0.0149</x:v>
      </x:c>
    </x:row>
    <x:row r="14" ht="15" hidden="0" customHeight="1">
      <x:c r="A14" s="35" t="str">
        <x:v>39</x:v>
      </x:c>
      <x:c r="B14" s="35" t="str">
        <x:v>International Specialty Retailer</x:v>
      </x:c>
      <x:c r="C14" s="35" t="n">
        <x:v>2</x:v>
      </x:c>
      <x:c r="D14" s="35" t="n">
        <x:v>0</x:v>
      </x:c>
      <x:c r="E14" s="35" t="n">
        <x:v>0</x:v>
      </x:c>
      <x:c r="F14" s="35" t="n">
        <x:v>0</x:v>
      </x:c>
      <x:c r="G14" s="35" t="n">
        <x:v>2</x:v>
      </x:c>
      <x:c r="H14" s="35" t="n">
        <x:v>0</x:v>
      </x:c>
      <x:c r="I14" s="35" t="n">
        <x:v>2</x:v>
      </x:c>
      <x:c r="J14" s="38" t="n">
        <x:v>1</x:v>
      </x:c>
      <x:c r="K14" s="37" t="n">
        <x:v>319372.09</x:v>
      </x:c>
      <x:c r="L14" s="38" t="n">
        <x:v>0.0139</x:v>
      </x:c>
    </x:row>
    <x:row r="15" ht="15" hidden="0" customHeight="1">
      <x:c r="A15" s="35" t="str">
        <x:v>47</x:v>
      </x:c>
      <x:c r="B15" s="35" t="str">
        <x:v>Direct-to-Consumer Channel</x:v>
      </x:c>
      <x:c r="C15" s="35" t="n">
        <x:v>32</x:v>
      </x:c>
      <x:c r="D15" s="35" t="n">
        <x:v>0</x:v>
      </x:c>
      <x:c r="E15" s="35" t="n">
        <x:v>0</x:v>
      </x:c>
      <x:c r="F15" s="35" t="n">
        <x:v>0</x:v>
      </x:c>
      <x:c r="G15" s="35" t="n">
        <x:v>32</x:v>
      </x:c>
      <x:c r="H15" s="35" t="n">
        <x:v>0</x:v>
      </x:c>
      <x:c r="I15" s="35" t="n">
        <x:v>32</x:v>
      </x:c>
      <x:c r="J15" s="38" t="n">
        <x:v>1</x:v>
      </x:c>
      <x:c r="K15" s="37" t="n">
        <x:v>307560.26</x:v>
      </x:c>
      <x:c r="L15" s="38" t="n">
        <x:v>0.013300000000000001</x:v>
      </x:c>
    </x:row>
    <x:row r="16" ht="15" hidden="0" customHeight="1">
      <x:c r="A16" s="35" t="str">
        <x:v>25</x:v>
      </x:c>
      <x:c r="B16" s="35" t="str">
        <x:v>Premium Specialty Retailer</x:v>
      </x:c>
      <x:c r="C16" s="35" t="n">
        <x:v>3</x:v>
      </x:c>
      <x:c r="D16" s="35" t="n">
        <x:v>2</x:v>
      </x:c>
      <x:c r="E16" s="35" t="n">
        <x:v>0</x:v>
      </x:c>
      <x:c r="F16" s="35" t="n">
        <x:v>0</x:v>
      </x:c>
      <x:c r="G16" s="35" t="n">
        <x:v>1</x:v>
      </x:c>
      <x:c r="H16" s="35" t="n">
        <x:v>0</x:v>
      </x:c>
      <x:c r="I16" s="35" t="n">
        <x:v>1</x:v>
      </x:c>
      <x:c r="J16" s="38" t="n">
        <x:v>0.3333</x:v>
      </x:c>
      <x:c r="K16" s="37" t="n">
        <x:v>278544.09</x:v>
      </x:c>
      <x:c r="L16" s="38" t="n">
        <x:v>0.0121</x:v>
      </x:c>
    </x:row>
    <x:row r="17" ht="15" hidden="0" customHeight="1">
      <x:c r="A17" s="35" t="str">
        <x:v>54</x:v>
      </x:c>
      <x:c r="B17" s="35" t="str">
        <x:v>Retail Cooperative Network</x:v>
      </x:c>
      <x:c r="C17" s="35" t="n">
        <x:v>100</x:v>
      </x:c>
      <x:c r="D17" s="35" t="n">
        <x:v>74</x:v>
      </x:c>
      <x:c r="E17" s="35" t="n">
        <x:v>4</x:v>
      </x:c>
      <x:c r="F17" s="35" t="n">
        <x:v>9</x:v>
      </x:c>
      <x:c r="G17" s="35" t="n">
        <x:v>13</x:v>
      </x:c>
      <x:c r="H17" s="35" t="n">
        <x:v>0</x:v>
      </x:c>
      <x:c r="I17" s="35" t="n">
        <x:v>26</x:v>
      </x:c>
      <x:c r="J17" s="38" t="n">
        <x:v>0.26</x:v>
      </x:c>
      <x:c r="K17" s="37" t="n">
        <x:v>259864.43</x:v>
      </x:c>
      <x:c r="L17" s="38" t="n">
        <x:v>0.0113</x:v>
      </x:c>
    </x:row>
    <x:row r="18" ht="15" hidden="0" customHeight="1">
      <x:c r="A18" s="35" t="str">
        <x:v>34</x:v>
      </x:c>
      <x:c r="B18" s="35" t="str">
        <x:v>Urban Boutique Retailer</x:v>
      </x:c>
      <x:c r="C18" s="35" t="n">
        <x:v>5</x:v>
      </x:c>
      <x:c r="D18" s="35" t="n">
        <x:v>0</x:v>
      </x:c>
      <x:c r="E18" s="35" t="n">
        <x:v>0</x:v>
      </x:c>
      <x:c r="F18" s="35" t="n">
        <x:v>0</x:v>
      </x:c>
      <x:c r="G18" s="35" t="n">
        <x:v>5</x:v>
      </x:c>
      <x:c r="H18" s="35" t="n">
        <x:v>0</x:v>
      </x:c>
      <x:c r="I18" s="35" t="n">
        <x:v>5</x:v>
      </x:c>
      <x:c r="J18" s="38" t="n">
        <x:v>1</x:v>
      </x:c>
      <x:c r="K18" s="37" t="n">
        <x:v>258801.78</x:v>
      </x:c>
      <x:c r="L18" s="38" t="n">
        <x:v>0.011200000000000002</x:v>
      </x:c>
    </x:row>
    <x:row r="19" ht="15" hidden="0" customHeight="1">
      <x:c r="A19" s="35" t="str">
        <x:v>21</x:v>
      </x:c>
      <x:c r="B19" s="35" t="str">
        <x:v>Discount Retail Chain</x:v>
      </x:c>
      <x:c r="C19" s="35" t="n">
        <x:v>34</x:v>
      </x:c>
      <x:c r="D19" s="35" t="n">
        <x:v>13</x:v>
      </x:c>
      <x:c r="E19" s="35" t="n">
        <x:v>1</x:v>
      </x:c>
      <x:c r="F19" s="35" t="n">
        <x:v>0</x:v>
      </x:c>
      <x:c r="G19" s="35" t="n">
        <x:v>20</x:v>
      </x:c>
      <x:c r="H19" s="35" t="n">
        <x:v>0</x:v>
      </x:c>
      <x:c r="I19" s="35" t="n">
        <x:v>21</x:v>
      </x:c>
      <x:c r="J19" s="38" t="n">
        <x:v>0.6175999999999999</x:v>
      </x:c>
      <x:c r="K19" s="37" t="n">
        <x:v>147865.05</x:v>
      </x:c>
      <x:c r="L19" s="38" t="n">
        <x:v>0.0064</x:v>
      </x:c>
    </x:row>
    <x:row r="20" ht="15" hidden="0" customHeight="1">
      <x:c r="A20" s="35" t="str">
        <x:v>23</x:v>
      </x:c>
      <x:c r="B20" s="35" t="str">
        <x:v>Value-Oriented Retail Chain</x:v>
      </x:c>
      <x:c r="C20" s="35" t="n">
        <x:v>27</x:v>
      </x:c>
      <x:c r="D20" s="35" t="n">
        <x:v>20</x:v>
      </x:c>
      <x:c r="E20" s="35" t="n">
        <x:v>0</x:v>
      </x:c>
      <x:c r="F20" s="35" t="n">
        <x:v>2</x:v>
      </x:c>
      <x:c r="G20" s="35" t="n">
        <x:v>5</x:v>
      </x:c>
      <x:c r="H20" s="35" t="n">
        <x:v>0</x:v>
      </x:c>
      <x:c r="I20" s="35" t="n">
        <x:v>7</x:v>
      </x:c>
      <x:c r="J20" s="38" t="n">
        <x:v>0.2593</x:v>
      </x:c>
      <x:c r="K20" s="37" t="n">
        <x:v>121117.82</x:v>
      </x:c>
      <x:c r="L20" s="38" t="n">
        <x:v>0.0053</x:v>
      </x:c>
    </x:row>
    <x:row r="21" ht="15" hidden="0" customHeight="1">
      <x:c r="A21" s="35" t="str">
        <x:v>99</x:v>
      </x:c>
      <x:c r="B21" s="35" t="str">
        <x:v>Inactive / Closed Accounts</x:v>
      </x:c>
      <x:c r="C21" s="35" t="n">
        <x:v>10</x:v>
      </x:c>
      <x:c r="D21" s="35" t="n">
        <x:v>1</x:v>
      </x:c>
      <x:c r="E21" s="35" t="n">
        <x:v>0</x:v>
      </x:c>
      <x:c r="F21" s="35" t="n">
        <x:v>0</x:v>
      </x:c>
      <x:c r="G21" s="35" t="n">
        <x:v>9</x:v>
      </x:c>
      <x:c r="H21" s="35" t="n">
        <x:v>0</x:v>
      </x:c>
      <x:c r="I21" s="35" t="n">
        <x:v>9</x:v>
      </x:c>
      <x:c r="J21" s="38" t="n">
        <x:v>0.9</x:v>
      </x:c>
      <x:c r="K21" s="37" t="n">
        <x:v>92628.22</x:v>
      </x:c>
      <x:c r="L21" s="38" t="n">
        <x:v>0.004</x:v>
      </x:c>
    </x:row>
    <x:row r="22" ht="15" hidden="0" customHeight="1">
      <x:c r="A22" s="35" t="str">
        <x:v>28</x:v>
      </x:c>
      <x:c r="B22" s="35" t="str">
        <x:v>Corporate Retail Group</x:v>
      </x:c>
      <x:c r="C22" s="35" t="n">
        <x:v>29</x:v>
      </x:c>
      <x:c r="D22" s="35" t="n">
        <x:v>0</x:v>
      </x:c>
      <x:c r="E22" s="35" t="n">
        <x:v>0</x:v>
      </x:c>
      <x:c r="F22" s="35" t="n">
        <x:v>0</x:v>
      </x:c>
      <x:c r="G22" s="35" t="n">
        <x:v>29</x:v>
      </x:c>
      <x:c r="H22" s="35" t="n">
        <x:v>0</x:v>
      </x:c>
      <x:c r="I22" s="35" t="n">
        <x:v>29</x:v>
      </x:c>
      <x:c r="J22" s="38" t="n">
        <x:v>1</x:v>
      </x:c>
      <x:c r="K22" s="37" t="n">
        <x:v>83112.69</x:v>
      </x:c>
      <x:c r="L22" s="38" t="n">
        <x:v>0.0036</x:v>
      </x:c>
    </x:row>
    <x:row r="23" ht="15" hidden="0" customHeight="1">
      <x:c r="A23" s="35" t="str">
        <x:v>11</x:v>
      </x:c>
      <x:c r="B23" s="35" t="str">
        <x:v>Manufacturing Partners</x:v>
      </x:c>
      <x:c r="C23" s="35" t="n">
        <x:v>18</x:v>
      </x:c>
      <x:c r="D23" s="35" t="n">
        <x:v>7</x:v>
      </x:c>
      <x:c r="E23" s="35" t="n">
        <x:v>2</x:v>
      </x:c>
      <x:c r="F23" s="35" t="n">
        <x:v>2</x:v>
      </x:c>
      <x:c r="G23" s="35" t="n">
        <x:v>7</x:v>
      </x:c>
      <x:c r="H23" s="35" t="n">
        <x:v>0</x:v>
      </x:c>
      <x:c r="I23" s="35" t="n">
        <x:v>11</x:v>
      </x:c>
      <x:c r="J23" s="38" t="n">
        <x:v>0.6111</x:v>
      </x:c>
      <x:c r="K23" s="37" t="n">
        <x:v>66239.08</x:v>
      </x:c>
      <x:c r="L23" s="38" t="n">
        <x:v>0.0029</x:v>
      </x:c>
    </x:row>
    <x:row r="24" ht="15" hidden="0" customHeight="1">
      <x:c r="A24" s="35" t="str">
        <x:v>14</x:v>
      </x:c>
      <x:c r="B24" s="35" t="str">
        <x:v>Specialty Retail - Small Format</x:v>
      </x:c>
      <x:c r="C24" s="35" t="n">
        <x:v>25</x:v>
      </x:c>
      <x:c r="D24" s="35" t="n">
        <x:v>9</x:v>
      </x:c>
      <x:c r="E24" s="35" t="n">
        <x:v>4</x:v>
      </x:c>
      <x:c r="F24" s="35" t="n">
        <x:v>1</x:v>
      </x:c>
      <x:c r="G24" s="35" t="n">
        <x:v>11</x:v>
      </x:c>
      <x:c r="H24" s="35" t="n">
        <x:v>0</x:v>
      </x:c>
      <x:c r="I24" s="35" t="n">
        <x:v>16</x:v>
      </x:c>
      <x:c r="J24" s="38" t="n">
        <x:v>0.64</x:v>
      </x:c>
      <x:c r="K24" s="37" t="n">
        <x:v>57144.25</x:v>
      </x:c>
      <x:c r="L24" s="38" t="n">
        <x:v>0.0025</x:v>
      </x:c>
    </x:row>
    <x:row r="25" ht="15" hidden="0" customHeight="1">
      <x:c r="A25" s="35" t="str">
        <x:v>59</x:v>
      </x:c>
      <x:c r="B25" s="35" t="str">
        <x:v>Import Marketplace Partner</x:v>
      </x:c>
      <x:c r="C25" s="35" t="n">
        <x:v>2</x:v>
      </x:c>
      <x:c r="D25" s="35" t="n">
        <x:v>1</x:v>
      </x:c>
      <x:c r="E25" s="35" t="n">
        <x:v>0</x:v>
      </x:c>
      <x:c r="F25" s="35" t="n">
        <x:v>0</x:v>
      </x:c>
      <x:c r="G25" s="35" t="n">
        <x:v>1</x:v>
      </x:c>
      <x:c r="H25" s="35" t="n">
        <x:v>0</x:v>
      </x:c>
      <x:c r="I25" s="35" t="n">
        <x:v>1</x:v>
      </x:c>
      <x:c r="J25" s="38" t="n">
        <x:v>0.5</x:v>
      </x:c>
      <x:c r="K25" s="37" t="n">
        <x:v>36463.48</x:v>
      </x:c>
      <x:c r="L25" s="38" t="n">
        <x:v>0.0016</x:v>
      </x:c>
    </x:row>
    <x:row r="26" ht="15" hidden="0" customHeight="1">
      <x:c r="A26" s="35" t="str">
        <x:v>42</x:v>
      </x:c>
      <x:c r="B26" s="35" t="str">
        <x:v>Independent Distribution Partner</x:v>
      </x:c>
      <x:c r="C26" s="35" t="n">
        <x:v>10</x:v>
      </x:c>
      <x:c r="D26" s="35" t="n">
        <x:v>9</x:v>
      </x:c>
      <x:c r="E26" s="35" t="n">
        <x:v>0</x:v>
      </x:c>
      <x:c r="F26" s="35" t="n">
        <x:v>0</x:v>
      </x:c>
      <x:c r="G26" s="35" t="n">
        <x:v>1</x:v>
      </x:c>
      <x:c r="H26" s="35" t="n">
        <x:v>0</x:v>
      </x:c>
      <x:c r="I26" s="35" t="n">
        <x:v>1</x:v>
      </x:c>
      <x:c r="J26" s="38" t="n">
        <x:v>0.1</x:v>
      </x:c>
      <x:c r="K26" s="37" t="n">
        <x:v>34379.29</x:v>
      </x:c>
      <x:c r="L26" s="38" t="n">
        <x:v>0.0015</x:v>
      </x:c>
    </x:row>
    <x:row r="27" ht="15" hidden="0" customHeight="1">
      <x:c r="A27" s="35" t="str">
        <x:v>20</x:v>
      </x:c>
      <x:c r="B27" s="35" t="str">
        <x:v>Cooperative Member Account</x:v>
      </x:c>
      <x:c r="C27" s="35" t="n">
        <x:v>9</x:v>
      </x:c>
      <x:c r="D27" s="35" t="n">
        <x:v>7</x:v>
      </x:c>
      <x:c r="E27" s="35" t="n">
        <x:v>0</x:v>
      </x:c>
      <x:c r="F27" s="35" t="n">
        <x:v>0</x:v>
      </x:c>
      <x:c r="G27" s="35" t="n">
        <x:v>2</x:v>
      </x:c>
      <x:c r="H27" s="35" t="n">
        <x:v>0</x:v>
      </x:c>
      <x:c r="I27" s="35" t="n">
        <x:v>2</x:v>
      </x:c>
      <x:c r="J27" s="38" t="n">
        <x:v>0.22219999999999998</x:v>
      </x:c>
      <x:c r="K27" s="37" t="n">
        <x:v>30764.05</x:v>
      </x:c>
      <x:c r="L27" s="38" t="n">
        <x:v>0.0013</x:v>
      </x:c>
    </x:row>
    <x:row r="28" ht="15" hidden="0" customHeight="1">
      <x:c r="A28" s="35" t="str">
        <x:v>33</x:v>
      </x:c>
      <x:c r="B28" s="35" t="str">
        <x:v>Regional Specialty Market</x:v>
      </x:c>
      <x:c r="C28" s="35" t="n">
        <x:v>13</x:v>
      </x:c>
      <x:c r="D28" s="35" t="n">
        <x:v>12</x:v>
      </x:c>
      <x:c r="E28" s="35" t="n">
        <x:v>0</x:v>
      </x:c>
      <x:c r="F28" s="35" t="n">
        <x:v>0</x:v>
      </x:c>
      <x:c r="G28" s="35" t="n">
        <x:v>1</x:v>
      </x:c>
      <x:c r="H28" s="35" t="n">
        <x:v>0</x:v>
      </x:c>
      <x:c r="I28" s="35" t="n">
        <x:v>1</x:v>
      </x:c>
      <x:c r="J28" s="38" t="n">
        <x:v>0.07690000000000001</x:v>
      </x:c>
      <x:c r="K28" s="37" t="n">
        <x:v>29970.18</x:v>
      </x:c>
      <x:c r="L28" s="38" t="n">
        <x:v>0.0013</x:v>
      </x:c>
    </x:row>
    <x:row r="29" ht="15" hidden="0" customHeight="1">
      <x:c r="A29" s="35" t="str">
        <x:v>12</x:v>
      </x:c>
      <x:c r="B29" s="35" t="str">
        <x:v>High-Volume Distribution Partner</x:v>
      </x:c>
      <x:c r="C29" s="35" t="n">
        <x:v>2</x:v>
      </x:c>
      <x:c r="D29" s="35" t="n">
        <x:v>1</x:v>
      </x:c>
      <x:c r="E29" s="35" t="n">
        <x:v>0</x:v>
      </x:c>
      <x:c r="F29" s="35" t="n">
        <x:v>0</x:v>
      </x:c>
      <x:c r="G29" s="35" t="n">
        <x:v>1</x:v>
      </x:c>
      <x:c r="H29" s="35" t="n">
        <x:v>0</x:v>
      </x:c>
      <x:c r="I29" s="35" t="n">
        <x:v>1</x:v>
      </x:c>
      <x:c r="J29" s="38" t="n">
        <x:v>0.5</x:v>
      </x:c>
      <x:c r="K29" s="37" t="n">
        <x:v>25341.88</x:v>
      </x:c>
      <x:c r="L29" s="38" t="n">
        <x:v>0.0011</x:v>
      </x:c>
    </x:row>
    <x:row r="30" ht="15" hidden="0" customHeight="1">
      <x:c r="A30" s="35" t="str">
        <x:v>58</x:v>
      </x:c>
      <x:c r="B30" s="35" t="str">
        <x:v>Specialty Distribution Partner</x:v>
      </x:c>
      <x:c r="C30" s="35" t="n">
        <x:v>1</x:v>
      </x:c>
      <x:c r="D30" s="35" t="n">
        <x:v>0</x:v>
      </x:c>
      <x:c r="E30" s="35" t="n">
        <x:v>1</x:v>
      </x:c>
      <x:c r="F30" s="35" t="n">
        <x:v>0</x:v>
      </x:c>
      <x:c r="G30" s="35" t="n">
        <x:v>0</x:v>
      </x:c>
      <x:c r="H30" s="35" t="n">
        <x:v>0</x:v>
      </x:c>
      <x:c r="I30" s="35" t="n">
        <x:v>1</x:v>
      </x:c>
      <x:c r="J30" s="38" t="n">
        <x:v>1</x:v>
      </x:c>
      <x:c r="K30" s="37" t="n">
        <x:v>24462.91</x:v>
      </x:c>
      <x:c r="L30" s="38" t="n">
        <x:v>0.0011</x:v>
      </x:c>
    </x:row>
    <x:row r="31" ht="15" hidden="0" customHeight="1">
      <x:c r="A31" s="35" t="str">
        <x:v>41</x:v>
      </x:c>
      <x:c r="B31" s="35" t="str">
        <x:v>Village Retail Operator</x:v>
      </x:c>
      <x:c r="C31" s="35" t="n">
        <x:v>15</x:v>
      </x:c>
      <x:c r="D31" s="35" t="n">
        <x:v>12</x:v>
      </x:c>
      <x:c r="E31" s="35" t="n">
        <x:v>1</x:v>
      </x:c>
      <x:c r="F31" s="35" t="n">
        <x:v>0</x:v>
      </x:c>
      <x:c r="G31" s="35" t="n">
        <x:v>2</x:v>
      </x:c>
      <x:c r="H31" s="35" t="n">
        <x:v>0</x:v>
      </x:c>
      <x:c r="I31" s="35" t="n">
        <x:v>3</x:v>
      </x:c>
      <x:c r="J31" s="38" t="n">
        <x:v>0.2</x:v>
      </x:c>
      <x:c r="K31" s="37" t="n">
        <x:v>19984.48</x:v>
      </x:c>
      <x:c r="L31" s="38" t="n">
        <x:v>0.0009</x:v>
      </x:c>
    </x:row>
    <x:row r="32" ht="15" hidden="0" customHeight="1">
      <x:c r="A32" s="35" t="str">
        <x:v>24</x:v>
      </x:c>
      <x:c r="B32" s="35" t="str">
        <x:v>Metropolitan Retail Group</x:v>
      </x:c>
      <x:c r="C32" s="35" t="n">
        <x:v>6</x:v>
      </x:c>
      <x:c r="D32" s="35" t="n">
        <x:v>3</x:v>
      </x:c>
      <x:c r="E32" s="35" t="n">
        <x:v>0</x:v>
      </x:c>
      <x:c r="F32" s="35" t="n">
        <x:v>2</x:v>
      </x:c>
      <x:c r="G32" s="35" t="n">
        <x:v>1</x:v>
      </x:c>
      <x:c r="H32" s="35" t="n">
        <x:v>0</x:v>
      </x:c>
      <x:c r="I32" s="35" t="n">
        <x:v>3</x:v>
      </x:c>
      <x:c r="J32" s="38" t="n">
        <x:v>0.5</x:v>
      </x:c>
      <x:c r="K32" s="37" t="n">
        <x:v>18374.91</x:v>
      </x:c>
      <x:c r="L32" s="38" t="n">
        <x:v>0.0008</x:v>
      </x:c>
    </x:row>
    <x:row r="33" ht="15" hidden="0" customHeight="1">
      <x:c r="A33" s="35" t="str">
        <x:v>40</x:v>
      </x:c>
      <x:c r="B33" s="35" t="str">
        <x:v>Suburban Independent Retailer</x:v>
      </x:c>
      <x:c r="C33" s="35" t="n">
        <x:v>5</x:v>
      </x:c>
      <x:c r="D33" s="35" t="n">
        <x:v>4</x:v>
      </x:c>
      <x:c r="E33" s="35" t="n">
        <x:v>0</x:v>
      </x:c>
      <x:c r="F33" s="35" t="n">
        <x:v>0</x:v>
      </x:c>
      <x:c r="G33" s="35" t="n">
        <x:v>1</x:v>
      </x:c>
      <x:c r="H33" s="35" t="n">
        <x:v>0</x:v>
      </x:c>
      <x:c r="I33" s="35" t="n">
        <x:v>1</x:v>
      </x:c>
      <x:c r="J33" s="38" t="n">
        <x:v>0.2</x:v>
      </x:c>
      <x:c r="K33" s="37" t="n">
        <x:v>13759.52</x:v>
      </x:c>
      <x:c r="L33" s="38" t="n">
        <x:v>0.0006</x:v>
      </x:c>
    </x:row>
    <x:row r="34" ht="15" hidden="0" customHeight="1">
      <x:c r="A34" s="35" t="str">
        <x:v>1</x:v>
      </x:c>
      <x:c r="B34" s="35" t="str">
        <x:v>Unassigned</x:v>
      </x:c>
      <x:c r="C34" s="35" t="n">
        <x:v>15</x:v>
      </x:c>
      <x:c r="D34" s="35" t="n">
        <x:v>8</x:v>
      </x:c>
      <x:c r="E34" s="35" t="n">
        <x:v>0</x:v>
      </x:c>
      <x:c r="F34" s="35" t="n">
        <x:v>0</x:v>
      </x:c>
      <x:c r="G34" s="35" t="n">
        <x:v>7</x:v>
      </x:c>
      <x:c r="H34" s="35" t="n">
        <x:v>0</x:v>
      </x:c>
      <x:c r="I34" s="35" t="n">
        <x:v>7</x:v>
      </x:c>
      <x:c r="J34" s="38" t="n">
        <x:v>0.4667</x:v>
      </x:c>
      <x:c r="K34" s="37" t="n">
        <x:v>11133.4</x:v>
      </x:c>
      <x:c r="L34" s="38" t="n">
        <x:v>0.0005</x:v>
      </x:c>
    </x:row>
    <x:row r="35" ht="15" hidden="0" customHeight="1">
      <x:c r="A35" s="35" t="str">
        <x:v>62</x:v>
      </x:c>
      <x:c r="B35" s="35" t="str">
        <x:v>Convenience Retail Group</x:v>
      </x:c>
      <x:c r="C35" s="35" t="n">
        <x:v>5</x:v>
      </x:c>
      <x:c r="D35" s="35" t="n">
        <x:v>4</x:v>
      </x:c>
      <x:c r="E35" s="35" t="n">
        <x:v>0</x:v>
      </x:c>
      <x:c r="F35" s="35" t="n">
        <x:v>0</x:v>
      </x:c>
      <x:c r="G35" s="35" t="n">
        <x:v>1</x:v>
      </x:c>
      <x:c r="H35" s="35" t="n">
        <x:v>0</x:v>
      </x:c>
      <x:c r="I35" s="35" t="n">
        <x:v>1</x:v>
      </x:c>
      <x:c r="J35" s="38" t="n">
        <x:v>0.2</x:v>
      </x:c>
      <x:c r="K35" s="37" t="n">
        <x:v>2734.81</x:v>
      </x:c>
      <x:c r="L35" s="38" t="n">
        <x:v>0.0001</x:v>
      </x:c>
    </x:row>
    <x:row r="36" ht="15" hidden="0" customHeight="1">
      <x:c r="A36" s="35" t="str">
        <x:v>35</x:v>
      </x:c>
      <x:c r="B36" s="35" t="str">
        <x:v>Regional Multi-Unit Operator</x:v>
      </x:c>
      <x:c r="C36" s="35" t="n">
        <x:v>17</x:v>
      </x:c>
      <x:c r="D36" s="35" t="n">
        <x:v>15</x:v>
      </x:c>
      <x:c r="E36" s="35" t="n">
        <x:v>0</x:v>
      </x:c>
      <x:c r="F36" s="35" t="n">
        <x:v>0</x:v>
      </x:c>
      <x:c r="G36" s="35" t="n">
        <x:v>2</x:v>
      </x:c>
      <x:c r="H36" s="35" t="n">
        <x:v>0</x:v>
      </x:c>
      <x:c r="I36" s="35" t="n">
        <x:v>2</x:v>
      </x:c>
      <x:c r="J36" s="38" t="n">
        <x:v>0.1176</x:v>
      </x:c>
      <x:c r="K36" s="37" t="n">
        <x:v>2714.74</x:v>
      </x:c>
      <x:c r="L36" s="38" t="n">
        <x:v>0.0001</x:v>
      </x:c>
    </x:row>
    <x:row r="37" ht="15" hidden="0" customHeight="1">
      <x:c r="A37" s="35" t="str">
        <x:v>31</x:v>
      </x:c>
      <x:c r="B37" s="35" t="str">
        <x:v>Premium Specialty Operator</x:v>
      </x:c>
      <x:c r="C37" s="35" t="n">
        <x:v>6</x:v>
      </x:c>
      <x:c r="D37" s="35" t="n">
        <x:v>3</x:v>
      </x:c>
      <x:c r="E37" s="35" t="n">
        <x:v>0</x:v>
      </x:c>
      <x:c r="F37" s="35" t="n">
        <x:v>1</x:v>
      </x:c>
      <x:c r="G37" s="35" t="n">
        <x:v>2</x:v>
      </x:c>
      <x:c r="H37" s="35" t="n">
        <x:v>0</x:v>
      </x:c>
      <x:c r="I37" s="35" t="n">
        <x:v>3</x:v>
      </x:c>
      <x:c r="J37" s="38" t="n">
        <x:v>0.5</x:v>
      </x:c>
      <x:c r="K37" s="37" t="n">
        <x:v>2481.98</x:v>
      </x:c>
      <x:c r="L37" s="38" t="n">
        <x:v>0.0001</x:v>
      </x:c>
    </x:row>
    <x:row r="38" ht="15" hidden="0" customHeight="1">
      <x:c r="A38" s="35" t="str">
        <x:v>10</x:v>
      </x:c>
      <x:c r="B38" s="35" t="str">
        <x:v>Unassigned - Legacy</x:v>
      </x:c>
      <x:c r="C38" s="35" t="n">
        <x:v>1</x:v>
      </x:c>
      <x:c r="D38" s="35" t="n">
        <x:v>1</x:v>
      </x:c>
      <x:c r="E38" s="35" t="n">
        <x:v>0</x:v>
      </x:c>
      <x:c r="F38" s="35" t="n">
        <x:v>0</x:v>
      </x:c>
      <x:c r="G38" s="35" t="n">
        <x:v>0</x:v>
      </x:c>
      <x:c r="H38" s="35" t="n">
        <x:v>0</x:v>
      </x:c>
      <x:c r="I38" s="35" t="n">
        <x:v>0</x:v>
      </x:c>
      <x:c r="J38" s="38" t="n">
        <x:v>0</x:v>
      </x:c>
      <x:c r="K38" s="37" t="n">
        <x:v>0</x:v>
      </x:c>
      <x:c r="L38" s="38" t="n">
        <x:v>0</x:v>
      </x:c>
    </x:row>
    <x:row r="39" ht="15" hidden="0" customHeight="1">
      <x:c r="A39" s="35" t="str">
        <x:v>18</x:v>
      </x:c>
      <x:c r="B39" s="35" t="str">
        <x:v>Multi-Location Retail Group - Premium Tier</x:v>
      </x:c>
      <x:c r="C39" s="35" t="n">
        <x:v>33</x:v>
      </x:c>
      <x:c r="D39" s="35" t="n">
        <x:v>33</x:v>
      </x:c>
      <x:c r="E39" s="35" t="n">
        <x:v>0</x:v>
      </x:c>
      <x:c r="F39" s="35" t="n">
        <x:v>0</x:v>
      </x:c>
      <x:c r="G39" s="35" t="n">
        <x:v>0</x:v>
      </x:c>
      <x:c r="H39" s="35" t="n">
        <x:v>0</x:v>
      </x:c>
      <x:c r="I39" s="35" t="n">
        <x:v>0</x:v>
      </x:c>
      <x:c r="J39" s="38" t="n">
        <x:v>0</x:v>
      </x:c>
      <x:c r="K39" s="37" t="n">
        <x:v>0</x:v>
      </x:c>
      <x:c r="L39" s="38" t="n">
        <x:v>0</x:v>
      </x:c>
    </x:row>
    <x:row r="40" ht="15" hidden="0" customHeight="1">
      <x:c r="A40" s="35" t="str">
        <x:v>19</x:v>
      </x:c>
      <x:c r="B40" s="35" t="str">
        <x:v>Neighborhood Retail Group</x:v>
      </x:c>
      <x:c r="C40" s="35" t="n">
        <x:v>11</x:v>
      </x:c>
      <x:c r="D40" s="35" t="n">
        <x:v>11</x:v>
      </x:c>
      <x:c r="E40" s="35" t="n">
        <x:v>0</x:v>
      </x:c>
      <x:c r="F40" s="35" t="n">
        <x:v>0</x:v>
      </x:c>
      <x:c r="G40" s="35" t="n">
        <x:v>0</x:v>
      </x:c>
      <x:c r="H40" s="35" t="n">
        <x:v>0</x:v>
      </x:c>
      <x:c r="I40" s="35" t="n">
        <x:v>0</x:v>
      </x:c>
      <x:c r="J40" s="38" t="n">
        <x:v>0</x:v>
      </x:c>
      <x:c r="K40" s="37" t="n">
        <x:v>0</x:v>
      </x:c>
      <x:c r="L40" s="38" t="n">
        <x:v>0</x:v>
      </x:c>
    </x:row>
    <x:row r="41" ht="15" hidden="0" customHeight="1">
      <x:c r="A41" s="35" t="str">
        <x:v>22</x:v>
      </x:c>
      <x:c r="B41" s="35" t="str">
        <x:v>Institutional Buyer</x:v>
      </x:c>
      <x:c r="C41" s="35" t="n">
        <x:v>4</x:v>
      </x:c>
      <x:c r="D41" s="35" t="n">
        <x:v>4</x:v>
      </x:c>
      <x:c r="E41" s="35" t="n">
        <x:v>0</x:v>
      </x:c>
      <x:c r="F41" s="35" t="n">
        <x:v>0</x:v>
      </x:c>
      <x:c r="G41" s="35" t="n">
        <x:v>0</x:v>
      </x:c>
      <x:c r="H41" s="35" t="n">
        <x:v>0</x:v>
      </x:c>
      <x:c r="I41" s="35" t="n">
        <x:v>0</x:v>
      </x:c>
      <x:c r="J41" s="38" t="n">
        <x:v>0</x:v>
      </x:c>
      <x:c r="K41" s="37" t="n">
        <x:v>0</x:v>
      </x:c>
      <x:c r="L41" s="38" t="n">
        <x:v>0</x:v>
      </x:c>
    </x:row>
    <x:row r="42" ht="15" hidden="0" customHeight="1">
      <x:c r="A42" s="35" t="str">
        <x:v>26</x:v>
      </x:c>
      <x:c r="B42" s="35" t="str">
        <x:v>Suburban Retail Chain</x:v>
      </x:c>
      <x:c r="C42" s="35" t="n">
        <x:v>9</x:v>
      </x:c>
      <x:c r="D42" s="35" t="n">
        <x:v>9</x:v>
      </x:c>
      <x:c r="E42" s="35" t="n">
        <x:v>0</x:v>
      </x:c>
      <x:c r="F42" s="35" t="n">
        <x:v>0</x:v>
      </x:c>
      <x:c r="G42" s="35" t="n">
        <x:v>0</x:v>
      </x:c>
      <x:c r="H42" s="35" t="n">
        <x:v>0</x:v>
      </x:c>
      <x:c r="I42" s="35" t="n">
        <x:v>0</x:v>
      </x:c>
      <x:c r="J42" s="38" t="n">
        <x:v>0</x:v>
      </x:c>
      <x:c r="K42" s="37" t="n">
        <x:v>0</x:v>
      </x:c>
      <x:c r="L42" s="38" t="n">
        <x:v>0</x:v>
      </x:c>
    </x:row>
    <x:row r="43" ht="15" hidden="0" customHeight="1">
      <x:c r="A43" s="35" t="str">
        <x:v>27</x:v>
      </x:c>
      <x:c r="B43" s="35" t="str">
        <x:v>Urban Independent Retailer</x:v>
      </x:c>
      <x:c r="C43" s="35" t="n">
        <x:v>6</x:v>
      </x:c>
      <x:c r="D43" s="35" t="n">
        <x:v>6</x:v>
      </x:c>
      <x:c r="E43" s="35" t="n">
        <x:v>0</x:v>
      </x:c>
      <x:c r="F43" s="35" t="n">
        <x:v>0</x:v>
      </x:c>
      <x:c r="G43" s="35" t="n">
        <x:v>0</x:v>
      </x:c>
      <x:c r="H43" s="35" t="n">
        <x:v>0</x:v>
      </x:c>
      <x:c r="I43" s="35" t="n">
        <x:v>0</x:v>
      </x:c>
      <x:c r="J43" s="38" t="n">
        <x:v>0</x:v>
      </x:c>
      <x:c r="K43" s="37" t="n">
        <x:v>0</x:v>
      </x:c>
      <x:c r="L43" s="38" t="n">
        <x:v>0</x:v>
      </x:c>
    </x:row>
    <x:row r="44" ht="15" hidden="0" customHeight="1">
      <x:c r="A44" s="35" t="str">
        <x:v>29</x:v>
      </x:c>
      <x:c r="B44" s="35" t="str">
        <x:v>Niche Specialty Retailer</x:v>
      </x:c>
      <x:c r="C44" s="35" t="n">
        <x:v>4</x:v>
      </x:c>
      <x:c r="D44" s="35" t="n">
        <x:v>4</x:v>
      </x:c>
      <x:c r="E44" s="35" t="n">
        <x:v>0</x:v>
      </x:c>
      <x:c r="F44" s="35" t="n">
        <x:v>0</x:v>
      </x:c>
      <x:c r="G44" s="35" t="n">
        <x:v>0</x:v>
      </x:c>
      <x:c r="H44" s="35" t="n">
        <x:v>0</x:v>
      </x:c>
      <x:c r="I44" s="35" t="n">
        <x:v>0</x:v>
      </x:c>
      <x:c r="J44" s="38" t="n">
        <x:v>0</x:v>
      </x:c>
      <x:c r="K44" s="37" t="n">
        <x:v>0</x:v>
      </x:c>
      <x:c r="L44" s="38" t="n">
        <x:v>0</x:v>
      </x:c>
    </x:row>
    <x:row r="45" ht="15" hidden="0" customHeight="1">
      <x:c r="A45" s="35" t="str">
        <x:v>30</x:v>
      </x:c>
      <x:c r="B45" s="35" t="str">
        <x:v>International Retail Chain</x:v>
      </x:c>
      <x:c r="C45" s="35" t="n">
        <x:v>2</x:v>
      </x:c>
      <x:c r="D45" s="35" t="n">
        <x:v>2</x:v>
      </x:c>
      <x:c r="E45" s="35" t="n">
        <x:v>0</x:v>
      </x:c>
      <x:c r="F45" s="35" t="n">
        <x:v>0</x:v>
      </x:c>
      <x:c r="G45" s="35" t="n">
        <x:v>0</x:v>
      </x:c>
      <x:c r="H45" s="35" t="n">
        <x:v>0</x:v>
      </x:c>
      <x:c r="I45" s="35" t="n">
        <x:v>0</x:v>
      </x:c>
      <x:c r="J45" s="38" t="n">
        <x:v>0</x:v>
      </x:c>
      <x:c r="K45" s="37" t="n">
        <x:v>0</x:v>
      </x:c>
      <x:c r="L45" s="38" t="n">
        <x:v>0</x:v>
      </x:c>
    </x:row>
    <x:row r="46" ht="15" hidden="0" customHeight="1">
      <x:c r="A46" s="35" t="str">
        <x:v>32</x:v>
      </x:c>
      <x:c r="B46" s="35" t="str">
        <x:v>High-End Urban Retailer</x:v>
      </x:c>
      <x:c r="C46" s="35" t="n">
        <x:v>1</x:v>
      </x:c>
      <x:c r="D46" s="35" t="n">
        <x:v>1</x:v>
      </x:c>
      <x:c r="E46" s="35" t="n">
        <x:v>0</x:v>
      </x:c>
      <x:c r="F46" s="35" t="n">
        <x:v>0</x:v>
      </x:c>
      <x:c r="G46" s="35" t="n">
        <x:v>0</x:v>
      </x:c>
      <x:c r="H46" s="35" t="n">
        <x:v>0</x:v>
      </x:c>
      <x:c r="I46" s="35" t="n">
        <x:v>0</x:v>
      </x:c>
      <x:c r="J46" s="38" t="n">
        <x:v>0</x:v>
      </x:c>
      <x:c r="K46" s="37" t="n">
        <x:v>0</x:v>
      </x:c>
      <x:c r="L46" s="38" t="n">
        <x:v>0</x:v>
      </x:c>
    </x:row>
    <x:row r="47" ht="15" hidden="0" customHeight="1">
      <x:c r="A47" s="35" t="str">
        <x:v>36</x:v>
      </x:c>
      <x:c r="B47" s="35" t="str">
        <x:v>Import Distribution Partner</x:v>
      </x:c>
      <x:c r="C47" s="35" t="n">
        <x:v>1</x:v>
      </x:c>
      <x:c r="D47" s="35" t="n">
        <x:v>1</x:v>
      </x:c>
      <x:c r="E47" s="35" t="n">
        <x:v>0</x:v>
      </x:c>
      <x:c r="F47" s="35" t="n">
        <x:v>0</x:v>
      </x:c>
      <x:c r="G47" s="35" t="n">
        <x:v>0</x:v>
      </x:c>
      <x:c r="H47" s="35" t="n">
        <x:v>0</x:v>
      </x:c>
      <x:c r="I47" s="35" t="n">
        <x:v>0</x:v>
      </x:c>
      <x:c r="J47" s="38" t="n">
        <x:v>0</x:v>
      </x:c>
      <x:c r="K47" s="37" t="n">
        <x:v>0</x:v>
      </x:c>
      <x:c r="L47" s="38" t="n">
        <x:v>0</x:v>
      </x:c>
    </x:row>
    <x:row r="48" ht="15" hidden="0" customHeight="1">
      <x:c r="A48" s="35" t="str">
        <x:v>38</x:v>
      </x:c>
      <x:c r="B48" s="35" t="str">
        <x:v>Cooperative Retail Affiliate</x:v>
      </x:c>
      <x:c r="C48" s="35" t="n">
        <x:v>4</x:v>
      </x:c>
      <x:c r="D48" s="35" t="n">
        <x:v>4</x:v>
      </x:c>
      <x:c r="E48" s="35" t="n">
        <x:v>0</x:v>
      </x:c>
      <x:c r="F48" s="35" t="n">
        <x:v>0</x:v>
      </x:c>
      <x:c r="G48" s="35" t="n">
        <x:v>0</x:v>
      </x:c>
      <x:c r="H48" s="35" t="n">
        <x:v>0</x:v>
      </x:c>
      <x:c r="I48" s="35" t="n">
        <x:v>0</x:v>
      </x:c>
      <x:c r="J48" s="38" t="n">
        <x:v>0</x:v>
      </x:c>
      <x:c r="K48" s="37" t="n">
        <x:v>0</x:v>
      </x:c>
      <x:c r="L48" s="38" t="n">
        <x:v>0</x:v>
      </x:c>
    </x:row>
    <x:row r="49" ht="15" hidden="0" customHeight="1">
      <x:c r="A49" s="35" t="str">
        <x:v>43</x:v>
      </x:c>
      <x:c r="B49" s="35" t="str">
        <x:v>Event &amp; Promotional Accounts</x:v>
      </x:c>
      <x:c r="C49" s="35" t="n">
        <x:v>8</x:v>
      </x:c>
      <x:c r="D49" s="35" t="n">
        <x:v>8</x:v>
      </x:c>
      <x:c r="E49" s="35" t="n">
        <x:v>0</x:v>
      </x:c>
      <x:c r="F49" s="35" t="n">
        <x:v>0</x:v>
      </x:c>
      <x:c r="G49" s="35" t="n">
        <x:v>0</x:v>
      </x:c>
      <x:c r="H49" s="35" t="n">
        <x:v>0</x:v>
      </x:c>
      <x:c r="I49" s="35" t="n">
        <x:v>0</x:v>
      </x:c>
      <x:c r="J49" s="38" t="n">
        <x:v>0</x:v>
      </x:c>
      <x:c r="K49" s="37" t="n">
        <x:v>0</x:v>
      </x:c>
      <x:c r="L49" s="38" t="n">
        <x:v>0</x:v>
      </x:c>
    </x:row>
    <x:row r="50" ht="15" hidden="0" customHeight="1">
      <x:c r="A50" s="35" t="str">
        <x:v>45</x:v>
      </x:c>
      <x:c r="B50" s="35" t="str">
        <x:v>Boutique Retail Operator</x:v>
      </x:c>
      <x:c r="C50" s="35" t="n">
        <x:v>2</x:v>
      </x:c>
      <x:c r="D50" s="35" t="n">
        <x:v>2</x:v>
      </x:c>
      <x:c r="E50" s="35" t="n">
        <x:v>0</x:v>
      </x:c>
      <x:c r="F50" s="35" t="n">
        <x:v>0</x:v>
      </x:c>
      <x:c r="G50" s="35" t="n">
        <x:v>0</x:v>
      </x:c>
      <x:c r="H50" s="35" t="n">
        <x:v>0</x:v>
      </x:c>
      <x:c r="I50" s="35" t="n">
        <x:v>0</x:v>
      </x:c>
      <x:c r="J50" s="38" t="n">
        <x:v>0</x:v>
      </x:c>
      <x:c r="K50" s="37" t="n">
        <x:v>0</x:v>
      </x:c>
      <x:c r="L50" s="38" t="n">
        <x:v>0</x:v>
      </x:c>
    </x:row>
    <x:row r="51" ht="15" hidden="0" customHeight="1">
      <x:c r="A51" s="35" t="str">
        <x:v>46</x:v>
      </x:c>
      <x:c r="B51" s="35" t="str">
        <x:v>Regional Retail Affiliate</x:v>
      </x:c>
      <x:c r="C51" s="35" t="n">
        <x:v>1</x:v>
      </x:c>
      <x:c r="D51" s="35" t="n">
        <x:v>1</x:v>
      </x:c>
      <x:c r="E51" s="35" t="n">
        <x:v>0</x:v>
      </x:c>
      <x:c r="F51" s="35" t="n">
        <x:v>0</x:v>
      </x:c>
      <x:c r="G51" s="35" t="n">
        <x:v>0</x:v>
      </x:c>
      <x:c r="H51" s="35" t="n">
        <x:v>0</x:v>
      </x:c>
      <x:c r="I51" s="35" t="n">
        <x:v>0</x:v>
      </x:c>
      <x:c r="J51" s="38" t="n">
        <x:v>0</x:v>
      </x:c>
      <x:c r="K51" s="37" t="n">
        <x:v>0</x:v>
      </x:c>
      <x:c r="L51" s="38" t="n">
        <x:v>0</x:v>
      </x:c>
    </x:row>
    <x:row r="52" ht="15" hidden="0" customHeight="1">
      <x:c r="A52" s="35" t="str">
        <x:v>48</x:v>
      </x:c>
      <x:c r="B52" s="35" t="str">
        <x:v>Specialty Beverage Retailer</x:v>
      </x:c>
      <x:c r="C52" s="35" t="n">
        <x:v>12</x:v>
      </x:c>
      <x:c r="D52" s="35" t="n">
        <x:v>12</x:v>
      </x:c>
      <x:c r="E52" s="35" t="n">
        <x:v>0</x:v>
      </x:c>
      <x:c r="F52" s="35" t="n">
        <x:v>0</x:v>
      </x:c>
      <x:c r="G52" s="35" t="n">
        <x:v>0</x:v>
      </x:c>
      <x:c r="H52" s="35" t="n">
        <x:v>0</x:v>
      </x:c>
      <x:c r="I52" s="35" t="n">
        <x:v>0</x:v>
      </x:c>
      <x:c r="J52" s="38" t="n">
        <x:v>0</x:v>
      </x:c>
      <x:c r="K52" s="37" t="n">
        <x:v>0</x:v>
      </x:c>
      <x:c r="L52" s="38" t="n">
        <x:v>0</x:v>
      </x:c>
    </x:row>
    <x:row r="53" ht="15" hidden="0" customHeight="1">
      <x:c r="A53" s="35" t="str">
        <x:v>50</x:v>
      </x:c>
      <x:c r="B53" s="35" t="str">
        <x:v>Farm &amp; Specialty Market</x:v>
      </x:c>
      <x:c r="C53" s="35" t="n">
        <x:v>1</x:v>
      </x:c>
      <x:c r="D53" s="35" t="n">
        <x:v>1</x:v>
      </x:c>
      <x:c r="E53" s="35" t="n">
        <x:v>0</x:v>
      </x:c>
      <x:c r="F53" s="35" t="n">
        <x:v>0</x:v>
      </x:c>
      <x:c r="G53" s="35" t="n">
        <x:v>0</x:v>
      </x:c>
      <x:c r="H53" s="35" t="n">
        <x:v>0</x:v>
      </x:c>
      <x:c r="I53" s="35" t="n">
        <x:v>0</x:v>
      </x:c>
      <x:c r="J53" s="38" t="n">
        <x:v>0</x:v>
      </x:c>
      <x:c r="K53" s="37" t="n">
        <x:v>0</x:v>
      </x:c>
      <x:c r="L53" s="38" t="n">
        <x:v>0</x:v>
      </x:c>
    </x:row>
    <x:row r="54" ht="15" hidden="0" customHeight="1">
      <x:c r="A54" s="35" t="str">
        <x:v>51</x:v>
      </x:c>
      <x:c r="B54" s="35" t="str">
        <x:v>Franchise Retail Member</x:v>
      </x:c>
      <x:c r="C54" s="35" t="n">
        <x:v>3</x:v>
      </x:c>
      <x:c r="D54" s="35" t="n">
        <x:v>3</x:v>
      </x:c>
      <x:c r="E54" s="35" t="n">
        <x:v>0</x:v>
      </x:c>
      <x:c r="F54" s="35" t="n">
        <x:v>0</x:v>
      </x:c>
      <x:c r="G54" s="35" t="n">
        <x:v>0</x:v>
      </x:c>
      <x:c r="H54" s="35" t="n">
        <x:v>0</x:v>
      </x:c>
      <x:c r="I54" s="35" t="n">
        <x:v>0</x:v>
      </x:c>
      <x:c r="J54" s="38" t="n">
        <x:v>0</x:v>
      </x:c>
      <x:c r="K54" s="37" t="n">
        <x:v>0</x:v>
      </x:c>
      <x:c r="L54" s="38" t="n">
        <x:v>0</x:v>
      </x:c>
    </x:row>
    <x:row r="55" ht="15" hidden="0" customHeight="1">
      <x:c r="A55" s="35" t="str">
        <x:v>52</x:v>
      </x:c>
      <x:c r="B55" s="35" t="str">
        <x:v>Specialty Goods Retailer</x:v>
      </x:c>
      <x:c r="C55" s="35" t="n">
        <x:v>1</x:v>
      </x:c>
      <x:c r="D55" s="35" t="n">
        <x:v>1</x:v>
      </x:c>
      <x:c r="E55" s="35" t="n">
        <x:v>0</x:v>
      </x:c>
      <x:c r="F55" s="35" t="n">
        <x:v>0</x:v>
      </x:c>
      <x:c r="G55" s="35" t="n">
        <x:v>0</x:v>
      </x:c>
      <x:c r="H55" s="35" t="n">
        <x:v>0</x:v>
      </x:c>
      <x:c r="I55" s="35" t="n">
        <x:v>0</x:v>
      </x:c>
      <x:c r="J55" s="38" t="n">
        <x:v>0</x:v>
      </x:c>
      <x:c r="K55" s="37" t="n">
        <x:v>0</x:v>
      </x:c>
      <x:c r="L55" s="38" t="n">
        <x:v>0</x:v>
      </x:c>
    </x:row>
    <x:row r="56" ht="15" hidden="0" customHeight="1">
      <x:c r="A56" s="35" t="str">
        <x:v>53</x:v>
      </x:c>
      <x:c r="B56" s="35" t="str">
        <x:v>Wine &amp; Spirits Retailer</x:v>
      </x:c>
      <x:c r="C56" s="35" t="n">
        <x:v>4</x:v>
      </x:c>
      <x:c r="D56" s="35" t="n">
        <x:v>4</x:v>
      </x:c>
      <x:c r="E56" s="35" t="n">
        <x:v>0</x:v>
      </x:c>
      <x:c r="F56" s="35" t="n">
        <x:v>0</x:v>
      </x:c>
      <x:c r="G56" s="35" t="n">
        <x:v>0</x:v>
      </x:c>
      <x:c r="H56" s="35" t="n">
        <x:v>0</x:v>
      </x:c>
      <x:c r="I56" s="35" t="n">
        <x:v>0</x:v>
      </x:c>
      <x:c r="J56" s="38" t="n">
        <x:v>0</x:v>
      </x:c>
      <x:c r="K56" s="37" t="n">
        <x:v>0</x:v>
      </x:c>
      <x:c r="L56" s="38" t="n">
        <x:v>0</x:v>
      </x:c>
    </x:row>
    <x:row r="57" ht="15" hidden="0" customHeight="1">
      <x:c r="A57" s="35" t="str">
        <x:v>55</x:v>
      </x:c>
      <x:c r="B57" s="35" t="str">
        <x:v>Large Regional Retail Chain</x:v>
      </x:c>
      <x:c r="C57" s="35" t="n">
        <x:v>12</x:v>
      </x:c>
      <x:c r="D57" s="35" t="n">
        <x:v>12</x:v>
      </x:c>
      <x:c r="E57" s="35" t="n">
        <x:v>0</x:v>
      </x:c>
      <x:c r="F57" s="35" t="n">
        <x:v>0</x:v>
      </x:c>
      <x:c r="G57" s="35" t="n">
        <x:v>0</x:v>
      </x:c>
      <x:c r="H57" s="35" t="n">
        <x:v>0</x:v>
      </x:c>
      <x:c r="I57" s="35" t="n">
        <x:v>0</x:v>
      </x:c>
      <x:c r="J57" s="38" t="n">
        <x:v>0</x:v>
      </x:c>
      <x:c r="K57" s="37" t="n">
        <x:v>0</x:v>
      </x:c>
      <x:c r="L57" s="38" t="n">
        <x:v>0</x:v>
      </x:c>
    </x:row>
    <x:row r="58" ht="15" hidden="0" customHeight="1">
      <x:c r="A58" s="35" t="str">
        <x:v>56</x:v>
      </x:c>
      <x:c r="B58" s="35" t="str">
        <x:v>National Retail Affiliate</x:v>
      </x:c>
      <x:c r="C58" s="35" t="n">
        <x:v>8</x:v>
      </x:c>
      <x:c r="D58" s="35" t="n">
        <x:v>8</x:v>
      </x:c>
      <x:c r="E58" s="35" t="n">
        <x:v>0</x:v>
      </x:c>
      <x:c r="F58" s="35" t="n">
        <x:v>0</x:v>
      </x:c>
      <x:c r="G58" s="35" t="n">
        <x:v>0</x:v>
      </x:c>
      <x:c r="H58" s="35" t="n">
        <x:v>0</x:v>
      </x:c>
      <x:c r="I58" s="35" t="n">
        <x:v>0</x:v>
      </x:c>
      <x:c r="J58" s="38" t="n">
        <x:v>0</x:v>
      </x:c>
      <x:c r="K58" s="37" t="n">
        <x:v>0</x:v>
      </x:c>
      <x:c r="L58" s="38" t="n">
        <x:v>0</x:v>
      </x:c>
    </x:row>
    <x:row r="59" ht="15" hidden="0" customHeight="1">
      <x:c r="A59" s="35" t="str">
        <x:v>57</x:v>
      </x:c>
      <x:c r="B59" s="35" t="str">
        <x:v>National Retail Affiliate - Secondary</x:v>
      </x:c>
      <x:c r="C59" s="35" t="n">
        <x:v>4</x:v>
      </x:c>
      <x:c r="D59" s="35" t="n">
        <x:v>4</x:v>
      </x:c>
      <x:c r="E59" s="35" t="n">
        <x:v>0</x:v>
      </x:c>
      <x:c r="F59" s="35" t="n">
        <x:v>0</x:v>
      </x:c>
      <x:c r="G59" s="35" t="n">
        <x:v>0</x:v>
      </x:c>
      <x:c r="H59" s="35" t="n">
        <x:v>0</x:v>
      </x:c>
      <x:c r="I59" s="35" t="n">
        <x:v>0</x:v>
      </x:c>
      <x:c r="J59" s="38" t="n">
        <x:v>0</x:v>
      </x:c>
      <x:c r="K59" s="37" t="n">
        <x:v>0</x:v>
      </x:c>
      <x:c r="L59" s="38" t="n">
        <x:v>0</x:v>
      </x:c>
    </x:row>
    <x:row r="60" ht="15" hidden="0" customHeight="1">
      <x:c r="A60" s="35" t="str">
        <x:v>61</x:v>
      </x:c>
      <x:c r="B60" s="35" t="str">
        <x:v>Commercial Supply Vendor</x:v>
      </x:c>
      <x:c r="C60" s="35" t="n">
        <x:v>1</x:v>
      </x:c>
      <x:c r="D60" s="35" t="n">
        <x:v>1</x:v>
      </x:c>
      <x:c r="E60" s="35" t="n">
        <x:v>0</x:v>
      </x:c>
      <x:c r="F60" s="35" t="n">
        <x:v>0</x:v>
      </x:c>
      <x:c r="G60" s="35" t="n">
        <x:v>0</x:v>
      </x:c>
      <x:c r="H60" s="35" t="n">
        <x:v>0</x:v>
      </x:c>
      <x:c r="I60" s="35" t="n">
        <x:v>0</x:v>
      </x:c>
      <x:c r="J60" s="38" t="n">
        <x:v>0</x:v>
      </x:c>
      <x:c r="K60" s="37" t="n">
        <x:v>0</x:v>
      </x:c>
      <x:c r="L60" s="38" t="n">
        <x:v>0</x:v>
      </x:c>
    </x:row>
    <x:row r="61" ht="15" hidden="0" customHeight="1">
      <x:c r="A61" s="35" t="str">
        <x:v>63</x:v>
      </x:c>
      <x:c r="B61" s="35" t="str">
        <x:v>Destination Retail Location</x:v>
      </x:c>
      <x:c r="C61" s="35" t="n">
        <x:v>8</x:v>
      </x:c>
      <x:c r="D61" s="35" t="n">
        <x:v>8</x:v>
      </x:c>
      <x:c r="E61" s="35" t="n">
        <x:v>0</x:v>
      </x:c>
      <x:c r="F61" s="35" t="n">
        <x:v>0</x:v>
      </x:c>
      <x:c r="G61" s="35" t="n">
        <x:v>0</x:v>
      </x:c>
      <x:c r="H61" s="35" t="n">
        <x:v>0</x:v>
      </x:c>
      <x:c r="I61" s="35" t="n">
        <x:v>0</x:v>
      </x:c>
      <x:c r="J61" s="38" t="n">
        <x:v>0</x:v>
      </x:c>
      <x:c r="K61" s="37" t="n">
        <x:v>0</x:v>
      </x:c>
      <x:c r="L61" s="38" t="n">
        <x:v>0</x:v>
      </x:c>
    </x:row>
    <x:row r="62" ht="15" hidden="0" customHeight="1">
      <x:c r="A62" s="35" t="str">
        <x:v>64</x:v>
      </x:c>
      <x:c r="B62" s="35" t="str">
        <x:v>Family-Owned Retail Business</x:v>
      </x:c>
      <x:c r="C62" s="35" t="n">
        <x:v>5</x:v>
      </x:c>
      <x:c r="D62" s="35" t="n">
        <x:v>5</x:v>
      </x:c>
      <x:c r="E62" s="35" t="n">
        <x:v>0</x:v>
      </x:c>
      <x:c r="F62" s="35" t="n">
        <x:v>0</x:v>
      </x:c>
      <x:c r="G62" s="35" t="n">
        <x:v>0</x:v>
      </x:c>
      <x:c r="H62" s="35" t="n">
        <x:v>0</x:v>
      </x:c>
      <x:c r="I62" s="35" t="n">
        <x:v>0</x:v>
      </x:c>
      <x:c r="J62" s="38" t="n">
        <x:v>0</x:v>
      </x:c>
      <x:c r="K62" s="37" t="n">
        <x:v>0</x:v>
      </x:c>
      <x:c r="L62" s="38" t="n">
        <x:v>0</x:v>
      </x:c>
    </x:row>
    <x:row r="63" ht="15" hidden="0" customHeight="1">
      <x:c r="A63" s="35" t="str">
        <x:v>65</x:v>
      </x:c>
      <x:c r="B63" s="35" t="str">
        <x:v>Regional Specialty Retailer</x:v>
      </x:c>
      <x:c r="C63" s="35" t="n">
        <x:v>5</x:v>
      </x:c>
      <x:c r="D63" s="35" t="n">
        <x:v>5</x:v>
      </x:c>
      <x:c r="E63" s="35" t="n">
        <x:v>0</x:v>
      </x:c>
      <x:c r="F63" s="35" t="n">
        <x:v>0</x:v>
      </x:c>
      <x:c r="G63" s="35" t="n">
        <x:v>0</x:v>
      </x:c>
      <x:c r="H63" s="35" t="n">
        <x:v>0</x:v>
      </x:c>
      <x:c r="I63" s="35" t="n">
        <x:v>0</x:v>
      </x:c>
      <x:c r="J63" s="38" t="n">
        <x:v>0</x:v>
      </x:c>
      <x:c r="K63" s="37" t="n">
        <x:v>0</x:v>
      </x:c>
      <x:c r="L63" s="38" t="n">
        <x:v>0</x:v>
      </x:c>
    </x:row>
    <x:row r="64" ht="15" hidden="0" customHeight="1">
      <x:c r="A64" s="35" t="str">
        <x:v>66</x:v>
      </x:c>
      <x:c r="B64" s="35" t="str">
        <x:v>Independent Neighborhood Retailer</x:v>
      </x:c>
      <x:c r="C64" s="35" t="n">
        <x:v>4</x:v>
      </x:c>
      <x:c r="D64" s="35" t="n">
        <x:v>4</x:v>
      </x:c>
      <x:c r="E64" s="35" t="n">
        <x:v>0</x:v>
      </x:c>
      <x:c r="F64" s="35" t="n">
        <x:v>0</x:v>
      </x:c>
      <x:c r="G64" s="35" t="n">
        <x:v>0</x:v>
      </x:c>
      <x:c r="H64" s="35" t="n">
        <x:v>0</x:v>
      </x:c>
      <x:c r="I64" s="35" t="n">
        <x:v>0</x:v>
      </x:c>
      <x:c r="J64" s="38" t="n">
        <x:v>0</x:v>
      </x:c>
      <x:c r="K64" s="37" t="n">
        <x:v>0</x:v>
      </x:c>
      <x:c r="L64" s="38" t="n">
        <x:v>0</x:v>
      </x:c>
    </x:row>
    <x:row r="65" ht="15" hidden="0" customHeight="1">
      <x:c r="A65" s="35" t="str">
        <x:v>67</x:v>
      </x:c>
      <x:c r="B65" s="35" t="str">
        <x:v>Midwest Specialty Operator</x:v>
      </x:c>
      <x:c r="C65" s="35" t="n">
        <x:v>1</x:v>
      </x:c>
      <x:c r="D65" s="35" t="n">
        <x:v>1</x:v>
      </x:c>
      <x:c r="E65" s="35" t="n">
        <x:v>0</x:v>
      </x:c>
      <x:c r="F65" s="35" t="n">
        <x:v>0</x:v>
      </x:c>
      <x:c r="G65" s="35" t="n">
        <x:v>0</x:v>
      </x:c>
      <x:c r="H65" s="35" t="n">
        <x:v>0</x:v>
      </x:c>
      <x:c r="I65" s="35" t="n">
        <x:v>0</x:v>
      </x:c>
      <x:c r="J65" s="38" t="n">
        <x:v>0</x:v>
      </x:c>
      <x:c r="K65" s="37" t="n">
        <x:v>0</x:v>
      </x:c>
      <x:c r="L65" s="38" t="n">
        <x:v>0</x:v>
      </x:c>
    </x:row>
    <x:row r="66" ht="15" hidden="0" customHeight="1">
      <x:c r="A66" s="35" t="str">
        <x:v>68</x:v>
      </x:c>
      <x:c r="B66" s="35" t="str">
        <x:v>Regional Multi-Unit Retail Chain</x:v>
      </x:c>
      <x:c r="C66" s="35" t="n">
        <x:v>5</x:v>
      </x:c>
      <x:c r="D66" s="35" t="n">
        <x:v>5</x:v>
      </x:c>
      <x:c r="E66" s="35" t="n">
        <x:v>0</x:v>
      </x:c>
      <x:c r="F66" s="35" t="n">
        <x:v>0</x:v>
      </x:c>
      <x:c r="G66" s="35" t="n">
        <x:v>0</x:v>
      </x:c>
      <x:c r="H66" s="35" t="n">
        <x:v>0</x:v>
      </x:c>
      <x:c r="I66" s="35" t="n">
        <x:v>0</x:v>
      </x:c>
      <x:c r="J66" s="38" t="n">
        <x:v>0</x:v>
      </x:c>
      <x:c r="K66" s="37" t="n">
        <x:v>0</x:v>
      </x:c>
      <x:c r="L66" s="38" t="n">
        <x:v>0</x:v>
      </x:c>
    </x:row>
    <x:row r="67" ht="15" hidden="0" customHeight="1">
      <x:c r="A67" s="35" t="str">
        <x:v>70</x:v>
      </x:c>
      <x:c r="B67" s="35" t="str">
        <x:v>Miscellaneous Trade Accounts</x:v>
      </x:c>
      <x:c r="C67" s="35" t="n">
        <x:v>1</x:v>
      </x:c>
      <x:c r="D67" s="35" t="n">
        <x:v>1</x:v>
      </x:c>
      <x:c r="E67" s="35" t="n">
        <x:v>0</x:v>
      </x:c>
      <x:c r="F67" s="35" t="n">
        <x:v>0</x:v>
      </x:c>
      <x:c r="G67" s="35" t="n">
        <x:v>0</x:v>
      </x:c>
      <x:c r="H67" s="35" t="n">
        <x:v>0</x:v>
      </x:c>
      <x:c r="I67" s="35" t="n">
        <x:v>0</x:v>
      </x:c>
      <x:c r="J67" s="38" t="n">
        <x:v>0</x:v>
      </x:c>
      <x:c r="K67" s="37" t="n">
        <x:v>0</x:v>
      </x:c>
      <x:c r="L67" s="38" t="n">
        <x:v>0</x:v>
      </x:c>
    </x:row>
    <x:row r="68" ht="15" hidden="0" customHeight="1">
      <x:c r="A68" s="35" t="str">
        <x:v>Unmapped</x:v>
      </x:c>
      <x:c r="B68" s="35" t="str">
        <x:v>Unmapped</x:v>
      </x:c>
      <x:c r="C68" s="35" t="n">
        <x:v>21</x:v>
      </x:c>
      <x:c r="D68" s="35" t="n">
        <x:v>0</x:v>
      </x:c>
      <x:c r="E68" s="35" t="n">
        <x:v>0</x:v>
      </x:c>
      <x:c r="F68" s="35" t="n">
        <x:v>0</x:v>
      </x:c>
      <x:c r="G68" s="35" t="n">
        <x:v>0</x:v>
      </x:c>
      <x:c r="H68" s="35" t="n">
        <x:v>21</x:v>
      </x:c>
      <x:c r="I68" s="35" t="n">
        <x:v>0</x:v>
      </x:c>
      <x:c r="J68" s="38" t="n">
        <x:v>0</x:v>
      </x:c>
      <x:c r="K68" s="37" t="n">
        <x:v>0</x:v>
      </x:c>
      <x:c r="L68" s="38" t="n">
        <x:v>0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cb0e4e6b37c84cc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34" hidden="0" customWidth="1"/>
    <x:col min="4" max="4" width="16.6299991607666" hidden="0" customWidth="1"/>
    <x:col min="5" max="5" width="22" hidden="0" customWidth="1"/>
    <x:col min="6" max="6" width="16.75" hidden="0" customWidth="1"/>
    <x:col min="7" max="7" width="15.25" hidden="0" customWidth="1"/>
  </x:cols>
  <x:sheetData>
    <x:row r="1" ht="32" customHeight="1">
      <x:c r="A1" s="3" t="str">
        <x:v>At-Risk Customer Outreach Priorities</x:v>
      </x:c>
    </x:row>
    <x:row r="2" ht="24" customHeight="1">
      <x:c r="A2" s="6" t="str">
        <x:v>Top 100 anonymized customers inactive 7–12 months, ranked by trailing revenue baseline</x:v>
      </x:c>
    </x:row>
    <x:row r="4" ht="15" hidden="0" customHeight="1">
      <x:c r="A4" s="34" t="str">
        <x:v>Customer Number</x:v>
      </x:c>
      <x:c r="B4" s="34" t="str">
        <x:v>Customer Class</x:v>
      </x:c>
      <x:c r="C4" s="34" t="str">
        <x:v>Customer Class Description</x:v>
      </x:c>
      <x:c r="D4" s="34" t="str">
        <x:v>Last Active Period</x:v>
      </x:c>
      <x:c r="E4" s="34" t="str">
        <x:v>Months Since Last Active</x:v>
      </x:c>
      <x:c r="F4" s="34" t="str">
        <x:v>Churn Risk Bucket</x:v>
      </x:c>
      <x:c r="G4" s="34" t="str">
        <x:v>Revenue At Risk</x:v>
      </x:c>
    </x:row>
    <x:row r="5" ht="15" hidden="0" customHeight="1">
      <x:c r="A5" s="35" t="str">
        <x:v>CUSTOMER_0322</x:v>
      </x:c>
      <x:c r="B5" s="35" t="str">
        <x:v>2</x:v>
      </x:c>
      <x:c r="C5" s="35" t="str">
        <x:v>Independent Retail Accounts</x:v>
      </x:c>
      <x:c r="D5" s="35" t="str">
        <x:v>2404</x:v>
      </x:c>
      <x:c r="E5" s="36" t="n">
        <x:v>8</x:v>
      </x:c>
      <x:c r="F5" s="35" t="str">
        <x:v>At Risk</x:v>
      </x:c>
      <x:c r="G5" s="37" t="n">
        <x:v>312309.39</x:v>
      </x:c>
    </x:row>
    <x:row r="6" ht="15" hidden="0" customHeight="1">
      <x:c r="A6" s="35" t="str">
        <x:v>CUSTOMER_0115</x:v>
      </x:c>
      <x:c r="B6" s="35" t="str">
        <x:v>2</x:v>
      </x:c>
      <x:c r="C6" s="35" t="str">
        <x:v>Independent Retail Accounts</x:v>
      </x:c>
      <x:c r="D6" s="35" t="str">
        <x:v>2401</x:v>
      </x:c>
      <x:c r="E6" s="36" t="n">
        <x:v>11</x:v>
      </x:c>
      <x:c r="F6" s="35" t="str">
        <x:v>At Risk</x:v>
      </x:c>
      <x:c r="G6" s="37" t="n">
        <x:v>205995.1</x:v>
      </x:c>
    </x:row>
    <x:row r="7" ht="15" hidden="0" customHeight="1">
      <x:c r="A7" s="35" t="str">
        <x:v>CUSTOMER_0171</x:v>
      </x:c>
      <x:c r="B7" s="35" t="str">
        <x:v>2</x:v>
      </x:c>
      <x:c r="C7" s="35" t="str">
        <x:v>Independent Retail Accounts</x:v>
      </x:c>
      <x:c r="D7" s="35" t="str">
        <x:v>2404</x:v>
      </x:c>
      <x:c r="E7" s="36" t="n">
        <x:v>8</x:v>
      </x:c>
      <x:c r="F7" s="35" t="str">
        <x:v>At Risk</x:v>
      </x:c>
      <x:c r="G7" s="37" t="n">
        <x:v>178003.84</x:v>
      </x:c>
    </x:row>
    <x:row r="8" ht="15" hidden="0" customHeight="1">
      <x:c r="A8" s="35" t="str">
        <x:v>CUSTOMER_0220</x:v>
      </x:c>
      <x:c r="B8" s="35" t="str">
        <x:v>8</x:v>
      </x:c>
      <x:c r="C8" s="35" t="str">
        <x:v>Regional Retail Chain - Tier 2</x:v>
      </x:c>
      <x:c r="D8" s="35" t="str">
        <x:v>2404</x:v>
      </x:c>
      <x:c r="E8" s="36" t="n">
        <x:v>8</x:v>
      </x:c>
      <x:c r="F8" s="35" t="str">
        <x:v>At Risk</x:v>
      </x:c>
      <x:c r="G8" s="37" t="n">
        <x:v>140697.04</x:v>
      </x:c>
    </x:row>
    <x:row r="9" ht="15" hidden="0" customHeight="1">
      <x:c r="A9" s="35" t="str">
        <x:v>CUSTOMER_0765</x:v>
      </x:c>
      <x:c r="B9" s="35" t="str">
        <x:v>2</x:v>
      </x:c>
      <x:c r="C9" s="35" t="str">
        <x:v>Independent Retail Accounts</x:v>
      </x:c>
      <x:c r="D9" s="35" t="str">
        <x:v>2402</x:v>
      </x:c>
      <x:c r="E9" s="36" t="n">
        <x:v>10</x:v>
      </x:c>
      <x:c r="F9" s="35" t="str">
        <x:v>At Risk</x:v>
      </x:c>
      <x:c r="G9" s="37" t="n">
        <x:v>116104.7</x:v>
      </x:c>
    </x:row>
    <x:row r="10" ht="15" hidden="0" customHeight="1">
      <x:c r="A10" s="35" t="str">
        <x:v>CUSTOMER_0597</x:v>
      </x:c>
      <x:c r="B10" s="35" t="str">
        <x:v>2</x:v>
      </x:c>
      <x:c r="C10" s="35" t="str">
        <x:v>Independent Retail Accounts</x:v>
      </x:c>
      <x:c r="D10" s="35" t="str">
        <x:v>2401</x:v>
      </x:c>
      <x:c r="E10" s="36" t="n">
        <x:v>11</x:v>
      </x:c>
      <x:c r="F10" s="35" t="str">
        <x:v>At Risk</x:v>
      </x:c>
      <x:c r="G10" s="37" t="n">
        <x:v>88149.22</x:v>
      </x:c>
    </x:row>
    <x:row r="11" ht="15" hidden="0" customHeight="1">
      <x:c r="A11" s="35" t="str">
        <x:v>CUSTOMER_1243</x:v>
      </x:c>
      <x:c r="B11" s="35" t="str">
        <x:v>2</x:v>
      </x:c>
      <x:c r="C11" s="35" t="str">
        <x:v>Independent Retail Accounts</x:v>
      </x:c>
      <x:c r="D11" s="35" t="str">
        <x:v>2405</x:v>
      </x:c>
      <x:c r="E11" s="36" t="n">
        <x:v>7</x:v>
      </x:c>
      <x:c r="F11" s="35" t="str">
        <x:v>At Risk</x:v>
      </x:c>
      <x:c r="G11" s="37" t="n">
        <x:v>83047.12</x:v>
      </x:c>
    </x:row>
    <x:row r="12" ht="15" hidden="0" customHeight="1">
      <x:c r="A12" s="35" t="str">
        <x:v>CUSTOMER_0695</x:v>
      </x:c>
      <x:c r="B12" s="35" t="str">
        <x:v>5</x:v>
      </x:c>
      <x:c r="C12" s="35" t="str">
        <x:v>Wholesale Trade Accounts</x:v>
      </x:c>
      <x:c r="D12" s="35" t="str">
        <x:v>2405</x:v>
      </x:c>
      <x:c r="E12" s="36" t="n">
        <x:v>7</x:v>
      </x:c>
      <x:c r="F12" s="35" t="str">
        <x:v>At Risk</x:v>
      </x:c>
      <x:c r="G12" s="37" t="n">
        <x:v>63131.53</x:v>
      </x:c>
    </x:row>
    <x:row r="13" ht="15" hidden="0" customHeight="1">
      <x:c r="A13" s="35" t="str">
        <x:v>CUSTOMER_0639</x:v>
      </x:c>
      <x:c r="B13" s="35" t="str">
        <x:v>2</x:v>
      </x:c>
      <x:c r="C13" s="35" t="str">
        <x:v>Independent Retail Accounts</x:v>
      </x:c>
      <x:c r="D13" s="35" t="str">
        <x:v>2405</x:v>
      </x:c>
      <x:c r="E13" s="36" t="n">
        <x:v>7</x:v>
      </x:c>
      <x:c r="F13" s="35" t="str">
        <x:v>At Risk</x:v>
      </x:c>
      <x:c r="G13" s="37" t="n">
        <x:v>59008.97</x:v>
      </x:c>
    </x:row>
    <x:row r="14" ht="15" hidden="0" customHeight="1">
      <x:c r="A14" s="35" t="str">
        <x:v>CUSTOMER_1238</x:v>
      </x:c>
      <x:c r="B14" s="35" t="str">
        <x:v>5</x:v>
      </x:c>
      <x:c r="C14" s="35" t="str">
        <x:v>Wholesale Trade Accounts</x:v>
      </x:c>
      <x:c r="D14" s="35" t="str">
        <x:v>2401</x:v>
      </x:c>
      <x:c r="E14" s="36" t="n">
        <x:v>11</x:v>
      </x:c>
      <x:c r="F14" s="35" t="str">
        <x:v>At Risk</x:v>
      </x:c>
      <x:c r="G14" s="37" t="n">
        <x:v>56297.78</x:v>
      </x:c>
    </x:row>
    <x:row r="15" ht="15" hidden="0" customHeight="1">
      <x:c r="A15" s="35" t="str">
        <x:v>CUSTOMER_0680</x:v>
      </x:c>
      <x:c r="B15" s="35" t="str">
        <x:v>2</x:v>
      </x:c>
      <x:c r="C15" s="35" t="str">
        <x:v>Independent Retail Accounts</x:v>
      </x:c>
      <x:c r="D15" s="35" t="str">
        <x:v>2312</x:v>
      </x:c>
      <x:c r="E15" s="36" t="n">
        <x:v>12</x:v>
      </x:c>
      <x:c r="F15" s="35" t="str">
        <x:v>At Risk</x:v>
      </x:c>
      <x:c r="G15" s="37" t="n">
        <x:v>51528.53</x:v>
      </x:c>
    </x:row>
    <x:row r="16" ht="15" hidden="0" customHeight="1">
      <x:c r="A16" s="35" t="str">
        <x:v>CUSTOMER_0387</x:v>
      </x:c>
      <x:c r="B16" s="35" t="str">
        <x:v>2</x:v>
      </x:c>
      <x:c r="C16" s="35" t="str">
        <x:v>Independent Retail Accounts</x:v>
      </x:c>
      <x:c r="D16" s="35" t="str">
        <x:v>2402</x:v>
      </x:c>
      <x:c r="E16" s="36" t="n">
        <x:v>10</x:v>
      </x:c>
      <x:c r="F16" s="35" t="str">
        <x:v>At Risk</x:v>
      </x:c>
      <x:c r="G16" s="37" t="n">
        <x:v>45237.81</x:v>
      </x:c>
    </x:row>
    <x:row r="17" ht="15" hidden="0" customHeight="1">
      <x:c r="A17" s="35" t="str">
        <x:v>CUSTOMER_0687</x:v>
      </x:c>
      <x:c r="B17" s="35" t="str">
        <x:v>23</x:v>
      </x:c>
      <x:c r="C17" s="35" t="str">
        <x:v>Value-Oriented Retail Chain</x:v>
      </x:c>
      <x:c r="D17" s="35" t="str">
        <x:v>2403</x:v>
      </x:c>
      <x:c r="E17" s="36" t="n">
        <x:v>9</x:v>
      </x:c>
      <x:c r="F17" s="35" t="str">
        <x:v>At Risk</x:v>
      </x:c>
      <x:c r="G17" s="37" t="n">
        <x:v>43788.56</x:v>
      </x:c>
    </x:row>
    <x:row r="18" ht="15" hidden="0" customHeight="1">
      <x:c r="A18" s="35" t="str">
        <x:v>CUSTOMER_0502</x:v>
      </x:c>
      <x:c r="B18" s="35" t="str">
        <x:v>2</x:v>
      </x:c>
      <x:c r="C18" s="35" t="str">
        <x:v>Independent Retail Accounts</x:v>
      </x:c>
      <x:c r="D18" s="35" t="str">
        <x:v>2405</x:v>
      </x:c>
      <x:c r="E18" s="36" t="n">
        <x:v>7</x:v>
      </x:c>
      <x:c r="F18" s="35" t="str">
        <x:v>At Risk</x:v>
      </x:c>
      <x:c r="G18" s="37" t="n">
        <x:v>42920.7</x:v>
      </x:c>
    </x:row>
    <x:row r="19" ht="15" hidden="0" customHeight="1">
      <x:c r="A19" s="35" t="str">
        <x:v>CUSTOMER_0466</x:v>
      </x:c>
      <x:c r="B19" s="35" t="str">
        <x:v>5</x:v>
      </x:c>
      <x:c r="C19" s="35" t="str">
        <x:v>Wholesale Trade Accounts</x:v>
      </x:c>
      <x:c r="D19" s="35" t="str">
        <x:v>2405</x:v>
      </x:c>
      <x:c r="E19" s="36" t="n">
        <x:v>7</x:v>
      </x:c>
      <x:c r="F19" s="35" t="str">
        <x:v>At Risk</x:v>
      </x:c>
      <x:c r="G19" s="37" t="n">
        <x:v>40814.07</x:v>
      </x:c>
    </x:row>
    <x:row r="20" ht="15" hidden="0" customHeight="1">
      <x:c r="A20" s="35" t="str">
        <x:v>CUSTOMER_1578</x:v>
      </x:c>
      <x:c r="B20" s="35" t="str">
        <x:v>4</x:v>
      </x:c>
      <x:c r="C20" s="35" t="str">
        <x:v>Commercial Service Accounts</x:v>
      </x:c>
      <x:c r="D20" s="35" t="str">
        <x:v>2405</x:v>
      </x:c>
      <x:c r="E20" s="36" t="n">
        <x:v>7</x:v>
      </x:c>
      <x:c r="F20" s="35" t="str">
        <x:v>At Risk</x:v>
      </x:c>
      <x:c r="G20" s="37" t="n">
        <x:v>31876.1</x:v>
      </x:c>
    </x:row>
    <x:row r="21" ht="15" hidden="0" customHeight="1">
      <x:c r="A21" s="35" t="str">
        <x:v>CUSTOMER_0979</x:v>
      </x:c>
      <x:c r="B21" s="35" t="str">
        <x:v>2</x:v>
      </x:c>
      <x:c r="C21" s="35" t="str">
        <x:v>Independent Retail Accounts</x:v>
      </x:c>
      <x:c r="D21" s="35" t="str">
        <x:v>2405</x:v>
      </x:c>
      <x:c r="E21" s="36" t="n">
        <x:v>7</x:v>
      </x:c>
      <x:c r="F21" s="35" t="str">
        <x:v>At Risk</x:v>
      </x:c>
      <x:c r="G21" s="37" t="n">
        <x:v>31112.67</x:v>
      </x:c>
    </x:row>
    <x:row r="22" ht="15" hidden="0" customHeight="1">
      <x:c r="A22" s="35" t="str">
        <x:v>CUSTOMER_0792</x:v>
      </x:c>
      <x:c r="B22" s="35" t="str">
        <x:v>2</x:v>
      </x:c>
      <x:c r="C22" s="35" t="str">
        <x:v>Independent Retail Accounts</x:v>
      </x:c>
      <x:c r="D22" s="35" t="str">
        <x:v>2404</x:v>
      </x:c>
      <x:c r="E22" s="36" t="n">
        <x:v>8</x:v>
      </x:c>
      <x:c r="F22" s="35" t="str">
        <x:v>At Risk</x:v>
      </x:c>
      <x:c r="G22" s="37" t="n">
        <x:v>30814.99</x:v>
      </x:c>
    </x:row>
    <x:row r="23" ht="15" hidden="0" customHeight="1">
      <x:c r="A23" s="35" t="str">
        <x:v>CUSTOMER_1291</x:v>
      </x:c>
      <x:c r="B23" s="35" t="str">
        <x:v>54</x:v>
      </x:c>
      <x:c r="C23" s="35" t="str">
        <x:v>Retail Cooperative Network</x:v>
      </x:c>
      <x:c r="D23" s="35" t="str">
        <x:v>2401</x:v>
      </x:c>
      <x:c r="E23" s="36" t="n">
        <x:v>11</x:v>
      </x:c>
      <x:c r="F23" s="35" t="str">
        <x:v>At Risk</x:v>
      </x:c>
      <x:c r="G23" s="37" t="n">
        <x:v>30543.37</x:v>
      </x:c>
    </x:row>
    <x:row r="24" ht="15" hidden="0" customHeight="1">
      <x:c r="A24" s="35" t="str">
        <x:v>CUSTOMER_1657</x:v>
      </x:c>
      <x:c r="B24" s="35" t="str">
        <x:v>3</x:v>
      </x:c>
      <x:c r="C24" s="35" t="str">
        <x:v>National Retail Chains</x:v>
      </x:c>
      <x:c r="D24" s="35" t="str">
        <x:v>2401</x:v>
      </x:c>
      <x:c r="E24" s="36" t="n">
        <x:v>11</x:v>
      </x:c>
      <x:c r="F24" s="35" t="str">
        <x:v>At Risk</x:v>
      </x:c>
      <x:c r="G24" s="37" t="n">
        <x:v>28592.45</x:v>
      </x:c>
    </x:row>
    <x:row r="25" ht="15" hidden="0" customHeight="1">
      <x:c r="A25" s="35" t="str">
        <x:v>CUSTOMER_1724</x:v>
      </x:c>
      <x:c r="B25" s="35" t="str">
        <x:v>2</x:v>
      </x:c>
      <x:c r="C25" s="35" t="str">
        <x:v>Independent Retail Accounts</x:v>
      </x:c>
      <x:c r="D25" s="35" t="str">
        <x:v>2312</x:v>
      </x:c>
      <x:c r="E25" s="36" t="n">
        <x:v>12</x:v>
      </x:c>
      <x:c r="F25" s="35" t="str">
        <x:v>At Risk</x:v>
      </x:c>
      <x:c r="G25" s="37" t="n">
        <x:v>28206.5</x:v>
      </x:c>
    </x:row>
    <x:row r="26" ht="15" hidden="0" customHeight="1">
      <x:c r="A26" s="35" t="str">
        <x:v>CUSTOMER_1616</x:v>
      </x:c>
      <x:c r="B26" s="35" t="str">
        <x:v>2</x:v>
      </x:c>
      <x:c r="C26" s="35" t="str">
        <x:v>Independent Retail Accounts</x:v>
      </x:c>
      <x:c r="D26" s="35" t="str">
        <x:v>2402</x:v>
      </x:c>
      <x:c r="E26" s="36" t="n">
        <x:v>10</x:v>
      </x:c>
      <x:c r="F26" s="35" t="str">
        <x:v>At Risk</x:v>
      </x:c>
      <x:c r="G26" s="37" t="n">
        <x:v>25811.4</x:v>
      </x:c>
    </x:row>
    <x:row r="27" ht="15" hidden="0" customHeight="1">
      <x:c r="A27" s="35" t="str">
        <x:v>CUSTOMER_0877</x:v>
      </x:c>
      <x:c r="B27" s="35" t="str">
        <x:v>4</x:v>
      </x:c>
      <x:c r="C27" s="35" t="str">
        <x:v>Commercial Service Accounts</x:v>
      </x:c>
      <x:c r="D27" s="35" t="str">
        <x:v>2404</x:v>
      </x:c>
      <x:c r="E27" s="36" t="n">
        <x:v>8</x:v>
      </x:c>
      <x:c r="F27" s="35" t="str">
        <x:v>At Risk</x:v>
      </x:c>
      <x:c r="G27" s="37" t="n">
        <x:v>25083.62</x:v>
      </x:c>
    </x:row>
    <x:row r="28" ht="15" hidden="0" customHeight="1">
      <x:c r="A28" s="35" t="str">
        <x:v>CUSTOMER_1781</x:v>
      </x:c>
      <x:c r="B28" s="35" t="str">
        <x:v>2</x:v>
      </x:c>
      <x:c r="C28" s="35" t="str">
        <x:v>Independent Retail Accounts</x:v>
      </x:c>
      <x:c r="D28" s="35" t="str">
        <x:v>2404</x:v>
      </x:c>
      <x:c r="E28" s="36" t="n">
        <x:v>8</x:v>
      </x:c>
      <x:c r="F28" s="35" t="str">
        <x:v>At Risk</x:v>
      </x:c>
      <x:c r="G28" s="37" t="n">
        <x:v>24251.33</x:v>
      </x:c>
    </x:row>
    <x:row r="29" ht="15" hidden="0" customHeight="1">
      <x:c r="A29" s="35" t="str">
        <x:v>CUSTOMER_0460</x:v>
      </x:c>
      <x:c r="B29" s="35" t="str">
        <x:v>2</x:v>
      </x:c>
      <x:c r="C29" s="35" t="str">
        <x:v>Independent Retail Accounts</x:v>
      </x:c>
      <x:c r="D29" s="35" t="str">
        <x:v>2402</x:v>
      </x:c>
      <x:c r="E29" s="36" t="n">
        <x:v>10</x:v>
      </x:c>
      <x:c r="F29" s="35" t="str">
        <x:v>At Risk</x:v>
      </x:c>
      <x:c r="G29" s="37" t="n">
        <x:v>24128.94</x:v>
      </x:c>
    </x:row>
    <x:row r="30" ht="15" hidden="0" customHeight="1">
      <x:c r="A30" s="35" t="str">
        <x:v>CUSTOMER_1365</x:v>
      </x:c>
      <x:c r="B30" s="35" t="str">
        <x:v>2</x:v>
      </x:c>
      <x:c r="C30" s="35" t="str">
        <x:v>Independent Retail Accounts</x:v>
      </x:c>
      <x:c r="D30" s="35" t="str">
        <x:v>2404</x:v>
      </x:c>
      <x:c r="E30" s="36" t="n">
        <x:v>8</x:v>
      </x:c>
      <x:c r="F30" s="35" t="str">
        <x:v>At Risk</x:v>
      </x:c>
      <x:c r="G30" s="37" t="n">
        <x:v>24114.37</x:v>
      </x:c>
    </x:row>
    <x:row r="31" ht="15" hidden="0" customHeight="1">
      <x:c r="A31" s="35" t="str">
        <x:v>CUSTOMER_0503</x:v>
      </x:c>
      <x:c r="B31" s="35" t="str">
        <x:v>5</x:v>
      </x:c>
      <x:c r="C31" s="35" t="str">
        <x:v>Wholesale Trade Accounts</x:v>
      </x:c>
      <x:c r="D31" s="35" t="str">
        <x:v>2401</x:v>
      </x:c>
      <x:c r="E31" s="36" t="n">
        <x:v>11</x:v>
      </x:c>
      <x:c r="F31" s="35" t="str">
        <x:v>At Risk</x:v>
      </x:c>
      <x:c r="G31" s="37" t="n">
        <x:v>23852.63</x:v>
      </x:c>
    </x:row>
    <x:row r="32" ht="15" hidden="0" customHeight="1">
      <x:c r="A32" s="35" t="str">
        <x:v>CUSTOMER_1337</x:v>
      </x:c>
      <x:c r="B32" s="35" t="str">
        <x:v>2</x:v>
      </x:c>
      <x:c r="C32" s="35" t="str">
        <x:v>Independent Retail Accounts</x:v>
      </x:c>
      <x:c r="D32" s="35" t="str">
        <x:v>2403</x:v>
      </x:c>
      <x:c r="E32" s="36" t="n">
        <x:v>9</x:v>
      </x:c>
      <x:c r="F32" s="35" t="str">
        <x:v>At Risk</x:v>
      </x:c>
      <x:c r="G32" s="37" t="n">
        <x:v>22968.67</x:v>
      </x:c>
    </x:row>
    <x:row r="33" ht="15" hidden="0" customHeight="1">
      <x:c r="A33" s="35" t="str">
        <x:v>CUSTOMER_1033</x:v>
      </x:c>
      <x:c r="B33" s="35" t="str">
        <x:v>5</x:v>
      </x:c>
      <x:c r="C33" s="35" t="str">
        <x:v>Wholesale Trade Accounts</x:v>
      </x:c>
      <x:c r="D33" s="35" t="str">
        <x:v>2312</x:v>
      </x:c>
      <x:c r="E33" s="36" t="n">
        <x:v>12</x:v>
      </x:c>
      <x:c r="F33" s="35" t="str">
        <x:v>At Risk</x:v>
      </x:c>
      <x:c r="G33" s="37" t="n">
        <x:v>22872.31</x:v>
      </x:c>
    </x:row>
    <x:row r="34" ht="15" hidden="0" customHeight="1">
      <x:c r="A34" s="35" t="str">
        <x:v>CUSTOMER_1834</x:v>
      </x:c>
      <x:c r="B34" s="35" t="str">
        <x:v>5</x:v>
      </x:c>
      <x:c r="C34" s="35" t="str">
        <x:v>Wholesale Trade Accounts</x:v>
      </x:c>
      <x:c r="D34" s="35" t="str">
        <x:v>2402</x:v>
      </x:c>
      <x:c r="E34" s="36" t="n">
        <x:v>10</x:v>
      </x:c>
      <x:c r="F34" s="35" t="str">
        <x:v>At Risk</x:v>
      </x:c>
      <x:c r="G34" s="37" t="n">
        <x:v>21557.22</x:v>
      </x:c>
    </x:row>
    <x:row r="35" ht="15" hidden="0" customHeight="1">
      <x:c r="A35" s="35" t="str">
        <x:v>CUSTOMER_1313</x:v>
      </x:c>
      <x:c r="B35" s="35" t="str">
        <x:v>2</x:v>
      </x:c>
      <x:c r="C35" s="35" t="str">
        <x:v>Independent Retail Accounts</x:v>
      </x:c>
      <x:c r="D35" s="35" t="str">
        <x:v>2403</x:v>
      </x:c>
      <x:c r="E35" s="36" t="n">
        <x:v>9</x:v>
      </x:c>
      <x:c r="F35" s="35" t="str">
        <x:v>At Risk</x:v>
      </x:c>
      <x:c r="G35" s="37" t="n">
        <x:v>21477.18</x:v>
      </x:c>
    </x:row>
    <x:row r="36" ht="15" hidden="0" customHeight="1">
      <x:c r="A36" s="35" t="str">
        <x:v>CUSTOMER_0625</x:v>
      </x:c>
      <x:c r="B36" s="35" t="str">
        <x:v>4</x:v>
      </x:c>
      <x:c r="C36" s="35" t="str">
        <x:v>Commercial Service Accounts</x:v>
      </x:c>
      <x:c r="D36" s="35" t="str">
        <x:v>2402</x:v>
      </x:c>
      <x:c r="E36" s="36" t="n">
        <x:v>10</x:v>
      </x:c>
      <x:c r="F36" s="35" t="str">
        <x:v>At Risk</x:v>
      </x:c>
      <x:c r="G36" s="37" t="n">
        <x:v>20909.01</x:v>
      </x:c>
    </x:row>
    <x:row r="37" ht="15" hidden="0" customHeight="1">
      <x:c r="A37" s="35" t="str">
        <x:v>CUSTOMER_1030</x:v>
      </x:c>
      <x:c r="B37" s="35" t="str">
        <x:v>2</x:v>
      </x:c>
      <x:c r="C37" s="35" t="str">
        <x:v>Independent Retail Accounts</x:v>
      </x:c>
      <x:c r="D37" s="35" t="str">
        <x:v>2403</x:v>
      </x:c>
      <x:c r="E37" s="36" t="n">
        <x:v>9</x:v>
      </x:c>
      <x:c r="F37" s="35" t="str">
        <x:v>At Risk</x:v>
      </x:c>
      <x:c r="G37" s="37" t="n">
        <x:v>20853.97</x:v>
      </x:c>
    </x:row>
    <x:row r="38" ht="15" hidden="0" customHeight="1">
      <x:c r="A38" s="35" t="str">
        <x:v>CUSTOMER_0701</x:v>
      </x:c>
      <x:c r="B38" s="35" t="str">
        <x:v>2</x:v>
      </x:c>
      <x:c r="C38" s="35" t="str">
        <x:v>Independent Retail Accounts</x:v>
      </x:c>
      <x:c r="D38" s="35" t="str">
        <x:v>2402</x:v>
      </x:c>
      <x:c r="E38" s="36" t="n">
        <x:v>10</x:v>
      </x:c>
      <x:c r="F38" s="35" t="str">
        <x:v>At Risk</x:v>
      </x:c>
      <x:c r="G38" s="37" t="n">
        <x:v>20130.37</x:v>
      </x:c>
    </x:row>
    <x:row r="39" ht="15" hidden="0" customHeight="1">
      <x:c r="A39" s="35" t="str">
        <x:v>CUSTOMER_1217</x:v>
      </x:c>
      <x:c r="B39" s="35" t="str">
        <x:v>5</x:v>
      </x:c>
      <x:c r="C39" s="35" t="str">
        <x:v>Wholesale Trade Accounts</x:v>
      </x:c>
      <x:c r="D39" s="35" t="str">
        <x:v>2405</x:v>
      </x:c>
      <x:c r="E39" s="36" t="n">
        <x:v>7</x:v>
      </x:c>
      <x:c r="F39" s="35" t="str">
        <x:v>At Risk</x:v>
      </x:c>
      <x:c r="G39" s="37" t="n">
        <x:v>18881.85</x:v>
      </x:c>
    </x:row>
    <x:row r="40" ht="15" hidden="0" customHeight="1">
      <x:c r="A40" s="35" t="str">
        <x:v>CUSTOMER_1758</x:v>
      </x:c>
      <x:c r="B40" s="35" t="str">
        <x:v>2</x:v>
      </x:c>
      <x:c r="C40" s="35" t="str">
        <x:v>Independent Retail Accounts</x:v>
      </x:c>
      <x:c r="D40" s="35" t="str">
        <x:v>2404</x:v>
      </x:c>
      <x:c r="E40" s="36" t="n">
        <x:v>8</x:v>
      </x:c>
      <x:c r="F40" s="35" t="str">
        <x:v>At Risk</x:v>
      </x:c>
      <x:c r="G40" s="37" t="n">
        <x:v>17635.2</x:v>
      </x:c>
    </x:row>
    <x:row r="41" ht="15" hidden="0" customHeight="1">
      <x:c r="A41" s="35" t="str">
        <x:v>CUSTOMER_1916</x:v>
      </x:c>
      <x:c r="B41" s="35" t="str">
        <x:v>4</x:v>
      </x:c>
      <x:c r="C41" s="35" t="str">
        <x:v>Commercial Service Accounts</x:v>
      </x:c>
      <x:c r="D41" s="35" t="str">
        <x:v>2404</x:v>
      </x:c>
      <x:c r="E41" s="36" t="n">
        <x:v>8</x:v>
      </x:c>
      <x:c r="F41" s="35" t="str">
        <x:v>At Risk</x:v>
      </x:c>
      <x:c r="G41" s="37" t="n">
        <x:v>17559.59</x:v>
      </x:c>
    </x:row>
    <x:row r="42" ht="15" hidden="0" customHeight="1">
      <x:c r="A42" s="35" t="str">
        <x:v>CUSTOMER_1529</x:v>
      </x:c>
      <x:c r="B42" s="35" t="str">
        <x:v>4</x:v>
      </x:c>
      <x:c r="C42" s="35" t="str">
        <x:v>Commercial Service Accounts</x:v>
      </x:c>
      <x:c r="D42" s="35" t="str">
        <x:v>2402</x:v>
      </x:c>
      <x:c r="E42" s="36" t="n">
        <x:v>10</x:v>
      </x:c>
      <x:c r="F42" s="35" t="str">
        <x:v>At Risk</x:v>
      </x:c>
      <x:c r="G42" s="37" t="n">
        <x:v>16857.28</x:v>
      </x:c>
    </x:row>
    <x:row r="43" ht="15" hidden="0" customHeight="1">
      <x:c r="A43" s="35" t="str">
        <x:v>CUSTOMER_1977</x:v>
      </x:c>
      <x:c r="B43" s="35" t="str">
        <x:v>54</x:v>
      </x:c>
      <x:c r="C43" s="35" t="str">
        <x:v>Retail Cooperative Network</x:v>
      </x:c>
      <x:c r="D43" s="35" t="str">
        <x:v>2402</x:v>
      </x:c>
      <x:c r="E43" s="36" t="n">
        <x:v>10</x:v>
      </x:c>
      <x:c r="F43" s="35" t="str">
        <x:v>At Risk</x:v>
      </x:c>
      <x:c r="G43" s="37" t="n">
        <x:v>15407.31</x:v>
      </x:c>
    </x:row>
    <x:row r="44" ht="15" hidden="0" customHeight="1">
      <x:c r="A44" s="35" t="str">
        <x:v>CUSTOMER_0719</x:v>
      </x:c>
      <x:c r="B44" s="35" t="str">
        <x:v>2</x:v>
      </x:c>
      <x:c r="C44" s="35" t="str">
        <x:v>Independent Retail Accounts</x:v>
      </x:c>
      <x:c r="D44" s="35" t="str">
        <x:v>2312</x:v>
      </x:c>
      <x:c r="E44" s="36" t="n">
        <x:v>12</x:v>
      </x:c>
      <x:c r="F44" s="35" t="str">
        <x:v>At Risk</x:v>
      </x:c>
      <x:c r="G44" s="37" t="n">
        <x:v>14405.78</x:v>
      </x:c>
    </x:row>
    <x:row r="45" ht="15" hidden="0" customHeight="1">
      <x:c r="A45" s="35" t="str">
        <x:v>CUSTOMER_2020</x:v>
      </x:c>
      <x:c r="B45" s="35" t="str">
        <x:v>4</x:v>
      </x:c>
      <x:c r="C45" s="35" t="str">
        <x:v>Commercial Service Accounts</x:v>
      </x:c>
      <x:c r="D45" s="35" t="str">
        <x:v>2312</x:v>
      </x:c>
      <x:c r="E45" s="36" t="n">
        <x:v>12</x:v>
      </x:c>
      <x:c r="F45" s="35" t="str">
        <x:v>At Risk</x:v>
      </x:c>
      <x:c r="G45" s="37" t="n">
        <x:v>14061.89</x:v>
      </x:c>
    </x:row>
    <x:row r="46" ht="15" hidden="0" customHeight="1">
      <x:c r="A46" s="35" t="str">
        <x:v>CUSTOMER_1395</x:v>
      </x:c>
      <x:c r="B46" s="35" t="str">
        <x:v>24</x:v>
      </x:c>
      <x:c r="C46" s="35" t="str">
        <x:v>Metropolitan Retail Group</x:v>
      </x:c>
      <x:c r="D46" s="35" t="str">
        <x:v>2403</x:v>
      </x:c>
      <x:c r="E46" s="36" t="n">
        <x:v>9</x:v>
      </x:c>
      <x:c r="F46" s="35" t="str">
        <x:v>At Risk</x:v>
      </x:c>
      <x:c r="G46" s="37" t="n">
        <x:v>13418.78</x:v>
      </x:c>
    </x:row>
    <x:row r="47" ht="15" hidden="0" customHeight="1">
      <x:c r="A47" s="35" t="str">
        <x:v>CUSTOMER_1339</x:v>
      </x:c>
      <x:c r="B47" s="35" t="str">
        <x:v>2</x:v>
      </x:c>
      <x:c r="C47" s="35" t="str">
        <x:v>Independent Retail Accounts</x:v>
      </x:c>
      <x:c r="D47" s="35" t="str">
        <x:v>2403</x:v>
      </x:c>
      <x:c r="E47" s="36" t="n">
        <x:v>9</x:v>
      </x:c>
      <x:c r="F47" s="35" t="str">
        <x:v>At Risk</x:v>
      </x:c>
      <x:c r="G47" s="37" t="n">
        <x:v>13131.86</x:v>
      </x:c>
    </x:row>
    <x:row r="48" ht="15" hidden="0" customHeight="1">
      <x:c r="A48" s="35" t="str">
        <x:v>CUSTOMER_2052</x:v>
      </x:c>
      <x:c r="B48" s="35" t="str">
        <x:v>4</x:v>
      </x:c>
      <x:c r="C48" s="35" t="str">
        <x:v>Commercial Service Accounts</x:v>
      </x:c>
      <x:c r="D48" s="35" t="str">
        <x:v>2402</x:v>
      </x:c>
      <x:c r="E48" s="36" t="n">
        <x:v>10</x:v>
      </x:c>
      <x:c r="F48" s="35" t="str">
        <x:v>At Risk</x:v>
      </x:c>
      <x:c r="G48" s="37" t="n">
        <x:v>12973.9</x:v>
      </x:c>
    </x:row>
    <x:row r="49" ht="15" hidden="0" customHeight="1">
      <x:c r="A49" s="35" t="str">
        <x:v>CUSTOMER_2081</x:v>
      </x:c>
      <x:c r="B49" s="35" t="str">
        <x:v>5</x:v>
      </x:c>
      <x:c r="C49" s="35" t="str">
        <x:v>Wholesale Trade Accounts</x:v>
      </x:c>
      <x:c r="D49" s="35" t="str">
        <x:v>2403</x:v>
      </x:c>
      <x:c r="E49" s="36" t="n">
        <x:v>9</x:v>
      </x:c>
      <x:c r="F49" s="35" t="str">
        <x:v>At Risk</x:v>
      </x:c>
      <x:c r="G49" s="37" t="n">
        <x:v>12183.25</x:v>
      </x:c>
    </x:row>
    <x:row r="50" ht="15" hidden="0" customHeight="1">
      <x:c r="A50" s="35" t="str">
        <x:v>CUSTOMER_2117</x:v>
      </x:c>
      <x:c r="B50" s="35" t="str">
        <x:v>4</x:v>
      </x:c>
      <x:c r="C50" s="35" t="str">
        <x:v>Commercial Service Accounts</x:v>
      </x:c>
      <x:c r="D50" s="35" t="str">
        <x:v>2312</x:v>
      </x:c>
      <x:c r="E50" s="36" t="n">
        <x:v>12</x:v>
      </x:c>
      <x:c r="F50" s="35" t="str">
        <x:v>At Risk</x:v>
      </x:c>
      <x:c r="G50" s="37" t="n">
        <x:v>11377.51</x:v>
      </x:c>
    </x:row>
    <x:row r="51" ht="15" hidden="0" customHeight="1">
      <x:c r="A51" s="35" t="str">
        <x:v>CUSTOMER_2138</x:v>
      </x:c>
      <x:c r="B51" s="35" t="str">
        <x:v>4</x:v>
      </x:c>
      <x:c r="C51" s="35" t="str">
        <x:v>Commercial Service Accounts</x:v>
      </x:c>
      <x:c r="D51" s="35" t="str">
        <x:v>2312</x:v>
      </x:c>
      <x:c r="E51" s="36" t="n">
        <x:v>12</x:v>
      </x:c>
      <x:c r="F51" s="35" t="str">
        <x:v>At Risk</x:v>
      </x:c>
      <x:c r="G51" s="37" t="n">
        <x:v>10762.16</x:v>
      </x:c>
    </x:row>
    <x:row r="52" ht="15" hidden="0" customHeight="1">
      <x:c r="A52" s="35" t="str">
        <x:v>CUSTOMER_1912</x:v>
      </x:c>
      <x:c r="B52" s="35" t="str">
        <x:v>2</x:v>
      </x:c>
      <x:c r="C52" s="35" t="str">
        <x:v>Independent Retail Accounts</x:v>
      </x:c>
      <x:c r="D52" s="35" t="str">
        <x:v>2402</x:v>
      </x:c>
      <x:c r="E52" s="36" t="n">
        <x:v>10</x:v>
      </x:c>
      <x:c r="F52" s="35" t="str">
        <x:v>At Risk</x:v>
      </x:c>
      <x:c r="G52" s="37" t="n">
        <x:v>10608.74</x:v>
      </x:c>
    </x:row>
    <x:row r="53" ht="15" hidden="0" customHeight="1">
      <x:c r="A53" s="35" t="str">
        <x:v>CUSTOMER_0881</x:v>
      </x:c>
      <x:c r="B53" s="35" t="str">
        <x:v>2</x:v>
      </x:c>
      <x:c r="C53" s="35" t="str">
        <x:v>Independent Retail Accounts</x:v>
      </x:c>
      <x:c r="D53" s="35" t="str">
        <x:v>2403</x:v>
      </x:c>
      <x:c r="E53" s="36" t="n">
        <x:v>9</x:v>
      </x:c>
      <x:c r="F53" s="35" t="str">
        <x:v>At Risk</x:v>
      </x:c>
      <x:c r="G53" s="37" t="n">
        <x:v>10333.44</x:v>
      </x:c>
    </x:row>
    <x:row r="54" ht="15" hidden="0" customHeight="1">
      <x:c r="A54" s="35" t="str">
        <x:v>CUSTOMER_1740</x:v>
      </x:c>
      <x:c r="B54" s="35" t="str">
        <x:v>2</x:v>
      </x:c>
      <x:c r="C54" s="35" t="str">
        <x:v>Independent Retail Accounts</x:v>
      </x:c>
      <x:c r="D54" s="35" t="str">
        <x:v>2403</x:v>
      </x:c>
      <x:c r="E54" s="36" t="n">
        <x:v>9</x:v>
      </x:c>
      <x:c r="F54" s="35" t="str">
        <x:v>At Risk</x:v>
      </x:c>
      <x:c r="G54" s="37" t="n">
        <x:v>9318.4</x:v>
      </x:c>
    </x:row>
    <x:row r="55" ht="15" hidden="0" customHeight="1">
      <x:c r="A55" s="35" t="str">
        <x:v>CUSTOMER_2066</x:v>
      </x:c>
      <x:c r="B55" s="35" t="str">
        <x:v>4</x:v>
      </x:c>
      <x:c r="C55" s="35" t="str">
        <x:v>Commercial Service Accounts</x:v>
      </x:c>
      <x:c r="D55" s="35" t="str">
        <x:v>2401</x:v>
      </x:c>
      <x:c r="E55" s="36" t="n">
        <x:v>11</x:v>
      </x:c>
      <x:c r="F55" s="35" t="str">
        <x:v>At Risk</x:v>
      </x:c>
      <x:c r="G55" s="37" t="n">
        <x:v>9041.24</x:v>
      </x:c>
    </x:row>
    <x:row r="56" ht="15" hidden="0" customHeight="1">
      <x:c r="A56" s="35" t="str">
        <x:v>CUSTOMER_2203</x:v>
      </x:c>
      <x:c r="B56" s="35" t="str">
        <x:v>2</x:v>
      </x:c>
      <x:c r="C56" s="35" t="str">
        <x:v>Independent Retail Accounts</x:v>
      </x:c>
      <x:c r="D56" s="35" t="str">
        <x:v>2401</x:v>
      </x:c>
      <x:c r="E56" s="36" t="n">
        <x:v>11</x:v>
      </x:c>
      <x:c r="F56" s="35" t="str">
        <x:v>At Risk</x:v>
      </x:c>
      <x:c r="G56" s="37" t="n">
        <x:v>8956.83</x:v>
      </x:c>
    </x:row>
    <x:row r="57" ht="15" hidden="0" customHeight="1">
      <x:c r="A57" s="35" t="str">
        <x:v>CUSTOMER_2204</x:v>
      </x:c>
      <x:c r="B57" s="35" t="str">
        <x:v>54</x:v>
      </x:c>
      <x:c r="C57" s="35" t="str">
        <x:v>Retail Cooperative Network</x:v>
      </x:c>
      <x:c r="D57" s="35" t="str">
        <x:v>2402</x:v>
      </x:c>
      <x:c r="E57" s="36" t="n">
        <x:v>10</x:v>
      </x:c>
      <x:c r="F57" s="35" t="str">
        <x:v>At Risk</x:v>
      </x:c>
      <x:c r="G57" s="37" t="n">
        <x:v>8920.92</x:v>
      </x:c>
    </x:row>
    <x:row r="58" ht="15" hidden="0" customHeight="1">
      <x:c r="A58" s="35" t="str">
        <x:v>CUSTOMER_1897</x:v>
      </x:c>
      <x:c r="B58" s="35" t="str">
        <x:v>2</x:v>
      </x:c>
      <x:c r="C58" s="35" t="str">
        <x:v>Independent Retail Accounts</x:v>
      </x:c>
      <x:c r="D58" s="35" t="str">
        <x:v>2405</x:v>
      </x:c>
      <x:c r="E58" s="36" t="n">
        <x:v>7</x:v>
      </x:c>
      <x:c r="F58" s="35" t="str">
        <x:v>At Risk</x:v>
      </x:c>
      <x:c r="G58" s="37" t="n">
        <x:v>8612.02</x:v>
      </x:c>
    </x:row>
    <x:row r="59" ht="15" hidden="0" customHeight="1">
      <x:c r="A59" s="35" t="str">
        <x:v>CUSTOMER_1878</x:v>
      </x:c>
      <x:c r="B59" s="35" t="str">
        <x:v>4</x:v>
      </x:c>
      <x:c r="C59" s="35" t="str">
        <x:v>Commercial Service Accounts</x:v>
      </x:c>
      <x:c r="D59" s="35" t="str">
        <x:v>2405</x:v>
      </x:c>
      <x:c r="E59" s="36" t="n">
        <x:v>7</x:v>
      </x:c>
      <x:c r="F59" s="35" t="str">
        <x:v>At Risk</x:v>
      </x:c>
      <x:c r="G59" s="37" t="n">
        <x:v>8417.69</x:v>
      </x:c>
    </x:row>
    <x:row r="60" ht="15" hidden="0" customHeight="1">
      <x:c r="A60" s="35" t="str">
        <x:v>CUSTOMER_1929</x:v>
      </x:c>
      <x:c r="B60" s="35" t="str">
        <x:v>2</x:v>
      </x:c>
      <x:c r="C60" s="35" t="str">
        <x:v>Independent Retail Accounts</x:v>
      </x:c>
      <x:c r="D60" s="35" t="str">
        <x:v>2403</x:v>
      </x:c>
      <x:c r="E60" s="36" t="n">
        <x:v>9</x:v>
      </x:c>
      <x:c r="F60" s="35" t="str">
        <x:v>At Risk</x:v>
      </x:c>
      <x:c r="G60" s="37" t="n">
        <x:v>8336.33</x:v>
      </x:c>
    </x:row>
    <x:row r="61" ht="15" hidden="0" customHeight="1">
      <x:c r="A61" s="35" t="str">
        <x:v>CUSTOMER_2230</x:v>
      </x:c>
      <x:c r="B61" s="35" t="str">
        <x:v>2</x:v>
      </x:c>
      <x:c r="C61" s="35" t="str">
        <x:v>Independent Retail Accounts</x:v>
      </x:c>
      <x:c r="D61" s="35" t="str">
        <x:v>2401</x:v>
      </x:c>
      <x:c r="E61" s="36" t="n">
        <x:v>11</x:v>
      </x:c>
      <x:c r="F61" s="35" t="str">
        <x:v>At Risk</x:v>
      </x:c>
      <x:c r="G61" s="37" t="n">
        <x:v>8305.96</x:v>
      </x:c>
    </x:row>
    <x:row r="62" ht="15" hidden="0" customHeight="1">
      <x:c r="A62" s="35" t="str">
        <x:v>CUSTOMER_1719</x:v>
      </x:c>
      <x:c r="B62" s="35" t="str">
        <x:v>4</x:v>
      </x:c>
      <x:c r="C62" s="35" t="str">
        <x:v>Commercial Service Accounts</x:v>
      </x:c>
      <x:c r="D62" s="35" t="str">
        <x:v>2403</x:v>
      </x:c>
      <x:c r="E62" s="36" t="n">
        <x:v>9</x:v>
      </x:c>
      <x:c r="F62" s="35" t="str">
        <x:v>At Risk</x:v>
      </x:c>
      <x:c r="G62" s="37" t="n">
        <x:v>8099.13</x:v>
      </x:c>
    </x:row>
    <x:row r="63" ht="15" hidden="0" customHeight="1">
      <x:c r="A63" s="35" t="str">
        <x:v>CUSTOMER_2239</x:v>
      </x:c>
      <x:c r="B63" s="35" t="str">
        <x:v>2</x:v>
      </x:c>
      <x:c r="C63" s="35" t="str">
        <x:v>Independent Retail Accounts</x:v>
      </x:c>
      <x:c r="D63" s="35" t="str">
        <x:v>2402</x:v>
      </x:c>
      <x:c r="E63" s="36" t="n">
        <x:v>10</x:v>
      </x:c>
      <x:c r="F63" s="35" t="str">
        <x:v>At Risk</x:v>
      </x:c>
      <x:c r="G63" s="37" t="n">
        <x:v>8004.36</x:v>
      </x:c>
    </x:row>
    <x:row r="64" ht="15" hidden="0" customHeight="1">
      <x:c r="A64" s="35" t="str">
        <x:v>CUSTOMER_1588</x:v>
      </x:c>
      <x:c r="B64" s="35" t="str">
        <x:v>2</x:v>
      </x:c>
      <x:c r="C64" s="35" t="str">
        <x:v>Independent Retail Accounts</x:v>
      </x:c>
      <x:c r="D64" s="35" t="str">
        <x:v>2405</x:v>
      </x:c>
      <x:c r="E64" s="36" t="n">
        <x:v>7</x:v>
      </x:c>
      <x:c r="F64" s="35" t="str">
        <x:v>At Risk</x:v>
      </x:c>
      <x:c r="G64" s="37" t="n">
        <x:v>7987.78</x:v>
      </x:c>
    </x:row>
    <x:row r="65" ht="15" hidden="0" customHeight="1">
      <x:c r="A65" s="35" t="str">
        <x:v>CUSTOMER_2244</x:v>
      </x:c>
      <x:c r="B65" s="35" t="str">
        <x:v>2</x:v>
      </x:c>
      <x:c r="C65" s="35" t="str">
        <x:v>Independent Retail Accounts</x:v>
      </x:c>
      <x:c r="D65" s="35" t="str">
        <x:v>2401</x:v>
      </x:c>
      <x:c r="E65" s="36" t="n">
        <x:v>11</x:v>
      </x:c>
      <x:c r="F65" s="35" t="str">
        <x:v>At Risk</x:v>
      </x:c>
      <x:c r="G65" s="37" t="n">
        <x:v>7949.12</x:v>
      </x:c>
    </x:row>
    <x:row r="66" ht="15" hidden="0" customHeight="1">
      <x:c r="A66" s="35" t="str">
        <x:v>CUSTOMER_2251</x:v>
      </x:c>
      <x:c r="B66" s="35" t="str">
        <x:v>5</x:v>
      </x:c>
      <x:c r="C66" s="35" t="str">
        <x:v>Wholesale Trade Accounts</x:v>
      </x:c>
      <x:c r="D66" s="35" t="str">
        <x:v>2312</x:v>
      </x:c>
      <x:c r="E66" s="36" t="n">
        <x:v>12</x:v>
      </x:c>
      <x:c r="F66" s="35" t="str">
        <x:v>At Risk</x:v>
      </x:c>
      <x:c r="G66" s="37" t="n">
        <x:v>7762.93</x:v>
      </x:c>
    </x:row>
    <x:row r="67" ht="15" hidden="0" customHeight="1">
      <x:c r="A67" s="35" t="str">
        <x:v>CUSTOMER_2071</x:v>
      </x:c>
      <x:c r="B67" s="35" t="str">
        <x:v>2</x:v>
      </x:c>
      <x:c r="C67" s="35" t="str">
        <x:v>Independent Retail Accounts</x:v>
      </x:c>
      <x:c r="D67" s="35" t="str">
        <x:v>2405</x:v>
      </x:c>
      <x:c r="E67" s="36" t="n">
        <x:v>7</x:v>
      </x:c>
      <x:c r="F67" s="35" t="str">
        <x:v>At Risk</x:v>
      </x:c>
      <x:c r="G67" s="37" t="n">
        <x:v>7337.84</x:v>
      </x:c>
    </x:row>
    <x:row r="68" ht="15" hidden="0" customHeight="1">
      <x:c r="A68" s="35" t="str">
        <x:v>CUSTOMER_2034</x:v>
      </x:c>
      <x:c r="B68" s="35" t="str">
        <x:v>4</x:v>
      </x:c>
      <x:c r="C68" s="35" t="str">
        <x:v>Commercial Service Accounts</x:v>
      </x:c>
      <x:c r="D68" s="35" t="str">
        <x:v>2312</x:v>
      </x:c>
      <x:c r="E68" s="36" t="n">
        <x:v>12</x:v>
      </x:c>
      <x:c r="F68" s="35" t="str">
        <x:v>At Risk</x:v>
      </x:c>
      <x:c r="G68" s="37" t="n">
        <x:v>7299.3</x:v>
      </x:c>
    </x:row>
    <x:row r="69" ht="15" hidden="0" customHeight="1">
      <x:c r="A69" s="35" t="str">
        <x:v>CUSTOMER_2281</x:v>
      </x:c>
      <x:c r="B69" s="35" t="str">
        <x:v>2</x:v>
      </x:c>
      <x:c r="C69" s="35" t="str">
        <x:v>Independent Retail Accounts</x:v>
      </x:c>
      <x:c r="D69" s="35" t="str">
        <x:v>2405</x:v>
      </x:c>
      <x:c r="E69" s="36" t="n">
        <x:v>7</x:v>
      </x:c>
      <x:c r="F69" s="35" t="str">
        <x:v>At Risk</x:v>
      </x:c>
      <x:c r="G69" s="37" t="n">
        <x:v>7134.24</x:v>
      </x:c>
    </x:row>
    <x:row r="70" ht="15" hidden="0" customHeight="1">
      <x:c r="A70" s="35" t="str">
        <x:v>CUSTOMER_2286</x:v>
      </x:c>
      <x:c r="B70" s="35" t="str">
        <x:v>2</x:v>
      </x:c>
      <x:c r="C70" s="35" t="str">
        <x:v>Independent Retail Accounts</x:v>
      </x:c>
      <x:c r="D70" s="35" t="str">
        <x:v>2401</x:v>
      </x:c>
      <x:c r="E70" s="36" t="n">
        <x:v>11</x:v>
      </x:c>
      <x:c r="F70" s="35" t="str">
        <x:v>At Risk</x:v>
      </x:c>
      <x:c r="G70" s="37" t="n">
        <x:v>7048.74</x:v>
      </x:c>
    </x:row>
    <x:row r="71" ht="15" hidden="0" customHeight="1">
      <x:c r="A71" s="35" t="str">
        <x:v>CUSTOMER_2288</x:v>
      </x:c>
      <x:c r="B71" s="35" t="str">
        <x:v>3</x:v>
      </x:c>
      <x:c r="C71" s="35" t="str">
        <x:v>National Retail Chains</x:v>
      </x:c>
      <x:c r="D71" s="35" t="str">
        <x:v>2403</x:v>
      </x:c>
      <x:c r="E71" s="36" t="n">
        <x:v>9</x:v>
      </x:c>
      <x:c r="F71" s="35" t="str">
        <x:v>At Risk</x:v>
      </x:c>
      <x:c r="G71" s="37" t="n">
        <x:v>7016.24</x:v>
      </x:c>
    </x:row>
    <x:row r="72" ht="15" hidden="0" customHeight="1">
      <x:c r="A72" s="35" t="str">
        <x:v>CUSTOMER_1839</x:v>
      </x:c>
      <x:c r="B72" s="35" t="str">
        <x:v>14</x:v>
      </x:c>
      <x:c r="C72" s="35" t="str">
        <x:v>Specialty Retail - Small Format</x:v>
      </x:c>
      <x:c r="D72" s="35" t="str">
        <x:v>2402</x:v>
      </x:c>
      <x:c r="E72" s="36" t="n">
        <x:v>10</x:v>
      </x:c>
      <x:c r="F72" s="35" t="str">
        <x:v>At Risk</x:v>
      </x:c>
      <x:c r="G72" s="37" t="n">
        <x:v>6867.46</x:v>
      </x:c>
    </x:row>
    <x:row r="73" ht="15" hidden="0" customHeight="1">
      <x:c r="A73" s="35" t="str">
        <x:v>CUSTOMER_2296</x:v>
      </x:c>
      <x:c r="B73" s="35" t="str">
        <x:v>2</x:v>
      </x:c>
      <x:c r="C73" s="35" t="str">
        <x:v>Independent Retail Accounts</x:v>
      </x:c>
      <x:c r="D73" s="35" t="str">
        <x:v>2401</x:v>
      </x:c>
      <x:c r="E73" s="36" t="n">
        <x:v>11</x:v>
      </x:c>
      <x:c r="F73" s="35" t="str">
        <x:v>At Risk</x:v>
      </x:c>
      <x:c r="G73" s="37" t="n">
        <x:v>6863.27</x:v>
      </x:c>
    </x:row>
    <x:row r="74" ht="15" hidden="0" customHeight="1">
      <x:c r="A74" s="35" t="str">
        <x:v>CUSTOMER_1367</x:v>
      </x:c>
      <x:c r="B74" s="35" t="str">
        <x:v>2</x:v>
      </x:c>
      <x:c r="C74" s="35" t="str">
        <x:v>Independent Retail Accounts</x:v>
      </x:c>
      <x:c r="D74" s="35" t="str">
        <x:v>2404</x:v>
      </x:c>
      <x:c r="E74" s="36" t="n">
        <x:v>8</x:v>
      </x:c>
      <x:c r="F74" s="35" t="str">
        <x:v>At Risk</x:v>
      </x:c>
      <x:c r="G74" s="37" t="n">
        <x:v>6768.18</x:v>
      </x:c>
    </x:row>
    <x:row r="75" ht="15" hidden="0" customHeight="1">
      <x:c r="A75" s="35" t="str">
        <x:v>CUSTOMER_2303</x:v>
      </x:c>
      <x:c r="B75" s="35" t="str">
        <x:v>2</x:v>
      </x:c>
      <x:c r="C75" s="35" t="str">
        <x:v>Independent Retail Accounts</x:v>
      </x:c>
      <x:c r="D75" s="35" t="str">
        <x:v>2312</x:v>
      </x:c>
      <x:c r="E75" s="36" t="n">
        <x:v>12</x:v>
      </x:c>
      <x:c r="F75" s="35" t="str">
        <x:v>At Risk</x:v>
      </x:c>
      <x:c r="G75" s="37" t="n">
        <x:v>6731.99</x:v>
      </x:c>
    </x:row>
    <x:row r="76" ht="15" hidden="0" customHeight="1">
      <x:c r="A76" s="35" t="str">
        <x:v>CUSTOMER_2308</x:v>
      </x:c>
      <x:c r="B76" s="35" t="str">
        <x:v>2</x:v>
      </x:c>
      <x:c r="C76" s="35" t="str">
        <x:v>Independent Retail Accounts</x:v>
      </x:c>
      <x:c r="D76" s="35" t="str">
        <x:v>2312</x:v>
      </x:c>
      <x:c r="E76" s="36" t="n">
        <x:v>12</x:v>
      </x:c>
      <x:c r="F76" s="35" t="str">
        <x:v>At Risk</x:v>
      </x:c>
      <x:c r="G76" s="37" t="n">
        <x:v>6670.48</x:v>
      </x:c>
    </x:row>
    <x:row r="77" ht="15" hidden="0" customHeight="1">
      <x:c r="A77" s="35" t="str">
        <x:v>CUSTOMER_2341</x:v>
      </x:c>
      <x:c r="B77" s="35" t="str">
        <x:v>2</x:v>
      </x:c>
      <x:c r="C77" s="35" t="str">
        <x:v>Independent Retail Accounts</x:v>
      </x:c>
      <x:c r="D77" s="35" t="str">
        <x:v>2405</x:v>
      </x:c>
      <x:c r="E77" s="36" t="n">
        <x:v>7</x:v>
      </x:c>
      <x:c r="F77" s="35" t="str">
        <x:v>At Risk</x:v>
      </x:c>
      <x:c r="G77" s="37" t="n">
        <x:v>6087.29</x:v>
      </x:c>
    </x:row>
    <x:row r="78" ht="15" hidden="0" customHeight="1">
      <x:c r="A78" s="35" t="str">
        <x:v>CUSTOMER_2345</x:v>
      </x:c>
      <x:c r="B78" s="35" t="str">
        <x:v>54</x:v>
      </x:c>
      <x:c r="C78" s="35" t="str">
        <x:v>Retail Cooperative Network</x:v>
      </x:c>
      <x:c r="D78" s="35" t="str">
        <x:v>2312</x:v>
      </x:c>
      <x:c r="E78" s="36" t="n">
        <x:v>12</x:v>
      </x:c>
      <x:c r="F78" s="35" t="str">
        <x:v>At Risk</x:v>
      </x:c>
      <x:c r="G78" s="37" t="n">
        <x:v>6053.9</x:v>
      </x:c>
    </x:row>
    <x:row r="79" ht="15" hidden="0" customHeight="1">
      <x:c r="A79" s="35" t="str">
        <x:v>CUSTOMER_1960</x:v>
      </x:c>
      <x:c r="B79" s="35" t="str">
        <x:v>2</x:v>
      </x:c>
      <x:c r="C79" s="35" t="str">
        <x:v>Independent Retail Accounts</x:v>
      </x:c>
      <x:c r="D79" s="35" t="str">
        <x:v>2402</x:v>
      </x:c>
      <x:c r="E79" s="36" t="n">
        <x:v>10</x:v>
      </x:c>
      <x:c r="F79" s="35" t="str">
        <x:v>At Risk</x:v>
      </x:c>
      <x:c r="G79" s="37" t="n">
        <x:v>5715.42</x:v>
      </x:c>
    </x:row>
    <x:row r="80" ht="15" hidden="0" customHeight="1">
      <x:c r="A80" s="35" t="str">
        <x:v>CUSTOMER_1686</x:v>
      </x:c>
      <x:c r="B80" s="35" t="str">
        <x:v>2</x:v>
      </x:c>
      <x:c r="C80" s="35" t="str">
        <x:v>Independent Retail Accounts</x:v>
      </x:c>
      <x:c r="D80" s="35" t="str">
        <x:v>2402</x:v>
      </x:c>
      <x:c r="E80" s="36" t="n">
        <x:v>10</x:v>
      </x:c>
      <x:c r="F80" s="35" t="str">
        <x:v>At Risk</x:v>
      </x:c>
      <x:c r="G80" s="37" t="n">
        <x:v>5540.11</x:v>
      </x:c>
    </x:row>
    <x:row r="81" ht="15" hidden="0" customHeight="1">
      <x:c r="A81" s="35" t="str">
        <x:v>CUSTOMER_1618</x:v>
      </x:c>
      <x:c r="B81" s="35" t="str">
        <x:v>3</x:v>
      </x:c>
      <x:c r="C81" s="35" t="str">
        <x:v>National Retail Chains</x:v>
      </x:c>
      <x:c r="D81" s="35" t="str">
        <x:v>2312</x:v>
      </x:c>
      <x:c r="E81" s="36" t="n">
        <x:v>12</x:v>
      </x:c>
      <x:c r="F81" s="35" t="str">
        <x:v>At Risk</x:v>
      </x:c>
      <x:c r="G81" s="37" t="n">
        <x:v>5349.69</x:v>
      </x:c>
    </x:row>
    <x:row r="82" ht="15" hidden="0" customHeight="1">
      <x:c r="A82" s="35" t="str">
        <x:v>CUSTOMER_2432</x:v>
      </x:c>
      <x:c r="B82" s="35" t="str">
        <x:v>4</x:v>
      </x:c>
      <x:c r="C82" s="35" t="str">
        <x:v>Commercial Service Accounts</x:v>
      </x:c>
      <x:c r="D82" s="35" t="str">
        <x:v>2312</x:v>
      </x:c>
      <x:c r="E82" s="36" t="n">
        <x:v>12</x:v>
      </x:c>
      <x:c r="F82" s="35" t="str">
        <x:v>At Risk</x:v>
      </x:c>
      <x:c r="G82" s="37" t="n">
        <x:v>4861.7</x:v>
      </x:c>
    </x:row>
    <x:row r="83" ht="15" hidden="0" customHeight="1">
      <x:c r="A83" s="35" t="str">
        <x:v>CUSTOMER_2435</x:v>
      </x:c>
      <x:c r="B83" s="35" t="str">
        <x:v>54</x:v>
      </x:c>
      <x:c r="C83" s="35" t="str">
        <x:v>Retail Cooperative Network</x:v>
      </x:c>
      <x:c r="D83" s="35" t="str">
        <x:v>2405</x:v>
      </x:c>
      <x:c r="E83" s="36" t="n">
        <x:v>7</x:v>
      </x:c>
      <x:c r="F83" s="35" t="str">
        <x:v>At Risk</x:v>
      </x:c>
      <x:c r="G83" s="37" t="n">
        <x:v>4843.21</x:v>
      </x:c>
    </x:row>
    <x:row r="84" ht="15" hidden="0" customHeight="1">
      <x:c r="A84" s="35" t="str">
        <x:v>CUSTOMER_2445</x:v>
      </x:c>
      <x:c r="B84" s="35" t="str">
        <x:v>4</x:v>
      </x:c>
      <x:c r="C84" s="35" t="str">
        <x:v>Commercial Service Accounts</x:v>
      </x:c>
      <x:c r="D84" s="35" t="str">
        <x:v>2403</x:v>
      </x:c>
      <x:c r="E84" s="36" t="n">
        <x:v>9</x:v>
      </x:c>
      <x:c r="F84" s="35" t="str">
        <x:v>At Risk</x:v>
      </x:c>
      <x:c r="G84" s="37" t="n">
        <x:v>4692.03</x:v>
      </x:c>
    </x:row>
    <x:row r="85" ht="15" hidden="0" customHeight="1">
      <x:c r="A85" s="35" t="str">
        <x:v>CUSTOMER_2125</x:v>
      </x:c>
      <x:c r="B85" s="35" t="str">
        <x:v>2</x:v>
      </x:c>
      <x:c r="C85" s="35" t="str">
        <x:v>Independent Retail Accounts</x:v>
      </x:c>
      <x:c r="D85" s="35" t="str">
        <x:v>2312</x:v>
      </x:c>
      <x:c r="E85" s="36" t="n">
        <x:v>12</x:v>
      </x:c>
      <x:c r="F85" s="35" t="str">
        <x:v>At Risk</x:v>
      </x:c>
      <x:c r="G85" s="37" t="n">
        <x:v>4620.61</x:v>
      </x:c>
    </x:row>
    <x:row r="86" ht="15" hidden="0" customHeight="1">
      <x:c r="A86" s="35" t="str">
        <x:v>CUSTOMER_2092</x:v>
      </x:c>
      <x:c r="B86" s="35" t="str">
        <x:v>3</x:v>
      </x:c>
      <x:c r="C86" s="35" t="str">
        <x:v>National Retail Chains</x:v>
      </x:c>
      <x:c r="D86" s="35" t="str">
        <x:v>2312</x:v>
      </x:c>
      <x:c r="E86" s="36" t="n">
        <x:v>12</x:v>
      </x:c>
      <x:c r="F86" s="35" t="str">
        <x:v>At Risk</x:v>
      </x:c>
      <x:c r="G86" s="37" t="n">
        <x:v>4552.02</x:v>
      </x:c>
    </x:row>
    <x:row r="87" ht="15" hidden="0" customHeight="1">
      <x:c r="A87" s="35" t="str">
        <x:v>CUSTOMER_1360</x:v>
      </x:c>
      <x:c r="B87" s="35" t="str">
        <x:v>2</x:v>
      </x:c>
      <x:c r="C87" s="35" t="str">
        <x:v>Independent Retail Accounts</x:v>
      </x:c>
      <x:c r="D87" s="35" t="str">
        <x:v>2401</x:v>
      </x:c>
      <x:c r="E87" s="36" t="n">
        <x:v>11</x:v>
      </x:c>
      <x:c r="F87" s="35" t="str">
        <x:v>At Risk</x:v>
      </x:c>
      <x:c r="G87" s="37" t="n">
        <x:v>4536.44</x:v>
      </x:c>
    </x:row>
    <x:row r="88" ht="15" hidden="0" customHeight="1">
      <x:c r="A88" s="35" t="str">
        <x:v>CUSTOMER_1805</x:v>
      </x:c>
      <x:c r="B88" s="35" t="str">
        <x:v>2</x:v>
      </x:c>
      <x:c r="C88" s="35" t="str">
        <x:v>Independent Retail Accounts</x:v>
      </x:c>
      <x:c r="D88" s="35" t="str">
        <x:v>2403</x:v>
      </x:c>
      <x:c r="E88" s="36" t="n">
        <x:v>9</x:v>
      </x:c>
      <x:c r="F88" s="35" t="str">
        <x:v>At Risk</x:v>
      </x:c>
      <x:c r="G88" s="37" t="n">
        <x:v>4342.67</x:v>
      </x:c>
    </x:row>
    <x:row r="89" ht="15" hidden="0" customHeight="1">
      <x:c r="A89" s="35" t="str">
        <x:v>CUSTOMER_1979</x:v>
      </x:c>
      <x:c r="B89" s="35" t="str">
        <x:v>24</x:v>
      </x:c>
      <x:c r="C89" s="35" t="str">
        <x:v>Metropolitan Retail Group</x:v>
      </x:c>
      <x:c r="D89" s="35" t="str">
        <x:v>2403</x:v>
      </x:c>
      <x:c r="E89" s="36" t="n">
        <x:v>9</x:v>
      </x:c>
      <x:c r="F89" s="35" t="str">
        <x:v>At Risk</x:v>
      </x:c>
      <x:c r="G89" s="37" t="n">
        <x:v>4239.74</x:v>
      </x:c>
    </x:row>
    <x:row r="90" ht="15" hidden="0" customHeight="1">
      <x:c r="A90" s="35" t="str">
        <x:v>CUSTOMER_2037</x:v>
      </x:c>
      <x:c r="B90" s="35" t="str">
        <x:v>5</x:v>
      </x:c>
      <x:c r="C90" s="35" t="str">
        <x:v>Wholesale Trade Accounts</x:v>
      </x:c>
      <x:c r="D90" s="35" t="str">
        <x:v>2403</x:v>
      </x:c>
      <x:c r="E90" s="36" t="n">
        <x:v>9</x:v>
      </x:c>
      <x:c r="F90" s="35" t="str">
        <x:v>At Risk</x:v>
      </x:c>
      <x:c r="G90" s="37" t="n">
        <x:v>4220.12</x:v>
      </x:c>
    </x:row>
    <x:row r="91" ht="15" hidden="0" customHeight="1">
      <x:c r="A91" s="35" t="str">
        <x:v>CUSTOMER_1863</x:v>
      </x:c>
      <x:c r="B91" s="35" t="str">
        <x:v>11</x:v>
      </x:c>
      <x:c r="C91" s="35" t="str">
        <x:v>Manufacturing Partners</x:v>
      </x:c>
      <x:c r="D91" s="35" t="str">
        <x:v>2403</x:v>
      </x:c>
      <x:c r="E91" s="36" t="n">
        <x:v>9</x:v>
      </x:c>
      <x:c r="F91" s="35" t="str">
        <x:v>At Risk</x:v>
      </x:c>
      <x:c r="G91" s="37" t="n">
        <x:v>3959.57</x:v>
      </x:c>
    </x:row>
    <x:row r="92" ht="15" hidden="0" customHeight="1">
      <x:c r="A92" s="35" t="str">
        <x:v>CUSTOMER_2050</x:v>
      </x:c>
      <x:c r="B92" s="35" t="str">
        <x:v>2</x:v>
      </x:c>
      <x:c r="C92" s="35" t="str">
        <x:v>Independent Retail Accounts</x:v>
      </x:c>
      <x:c r="D92" s="35" t="str">
        <x:v>2403</x:v>
      </x:c>
      <x:c r="E92" s="36" t="n">
        <x:v>9</x:v>
      </x:c>
      <x:c r="F92" s="35" t="str">
        <x:v>At Risk</x:v>
      </x:c>
      <x:c r="G92" s="37" t="n">
        <x:v>3815.28</x:v>
      </x:c>
    </x:row>
    <x:row r="93" ht="15" hidden="0" customHeight="1">
      <x:c r="A93" s="35" t="str">
        <x:v>CUSTOMER_1689</x:v>
      </x:c>
      <x:c r="B93" s="35" t="str">
        <x:v>2</x:v>
      </x:c>
      <x:c r="C93" s="35" t="str">
        <x:v>Independent Retail Accounts</x:v>
      </x:c>
      <x:c r="D93" s="35" t="str">
        <x:v>2404</x:v>
      </x:c>
      <x:c r="E93" s="36" t="n">
        <x:v>8</x:v>
      </x:c>
      <x:c r="F93" s="35" t="str">
        <x:v>At Risk</x:v>
      </x:c>
      <x:c r="G93" s="37" t="n">
        <x:v>3778.58</x:v>
      </x:c>
    </x:row>
    <x:row r="94" ht="15" hidden="0" customHeight="1">
      <x:c r="A94" s="35" t="str">
        <x:v>CUSTOMER_2127</x:v>
      </x:c>
      <x:c r="B94" s="35" t="str">
        <x:v>2</x:v>
      </x:c>
      <x:c r="C94" s="35" t="str">
        <x:v>Independent Retail Accounts</x:v>
      </x:c>
      <x:c r="D94" s="35" t="str">
        <x:v>2405</x:v>
      </x:c>
      <x:c r="E94" s="36" t="n">
        <x:v>7</x:v>
      </x:c>
      <x:c r="F94" s="35" t="str">
        <x:v>At Risk</x:v>
      </x:c>
      <x:c r="G94" s="37" t="n">
        <x:v>3737.37</x:v>
      </x:c>
    </x:row>
    <x:row r="95" ht="15" hidden="0" customHeight="1">
      <x:c r="A95" s="35" t="str">
        <x:v>CUSTOMER_2538</x:v>
      </x:c>
      <x:c r="B95" s="35" t="str">
        <x:v>2</x:v>
      </x:c>
      <x:c r="C95" s="35" t="str">
        <x:v>Independent Retail Accounts</x:v>
      </x:c>
      <x:c r="D95" s="35" t="str">
        <x:v>2405</x:v>
      </x:c>
      <x:c r="E95" s="36" t="n">
        <x:v>7</x:v>
      </x:c>
      <x:c r="F95" s="35" t="str">
        <x:v>At Risk</x:v>
      </x:c>
      <x:c r="G95" s="37" t="n">
        <x:v>3634.39</x:v>
      </x:c>
    </x:row>
    <x:row r="96" ht="15" hidden="0" customHeight="1">
      <x:c r="A96" s="35" t="str">
        <x:v>CUSTOMER_2554</x:v>
      </x:c>
      <x:c r="B96" s="35" t="str">
        <x:v>5</x:v>
      </x:c>
      <x:c r="C96" s="35" t="str">
        <x:v>Wholesale Trade Accounts</x:v>
      </x:c>
      <x:c r="D96" s="35" t="str">
        <x:v>2403</x:v>
      </x:c>
      <x:c r="E96" s="36" t="n">
        <x:v>9</x:v>
      </x:c>
      <x:c r="F96" s="35" t="str">
        <x:v>At Risk</x:v>
      </x:c>
      <x:c r="G96" s="37" t="n">
        <x:v>3495.67</x:v>
      </x:c>
    </x:row>
    <x:row r="97" ht="15" hidden="0" customHeight="1">
      <x:c r="A97" s="35" t="str">
        <x:v>CUSTOMER_1628</x:v>
      </x:c>
      <x:c r="B97" s="35" t="str">
        <x:v>3</x:v>
      </x:c>
      <x:c r="C97" s="35" t="str">
        <x:v>National Retail Chains</x:v>
      </x:c>
      <x:c r="D97" s="35" t="str">
        <x:v>2312</x:v>
      </x:c>
      <x:c r="E97" s="36" t="n">
        <x:v>12</x:v>
      </x:c>
      <x:c r="F97" s="35" t="str">
        <x:v>At Risk</x:v>
      </x:c>
      <x:c r="G97" s="37" t="n">
        <x:v>3418.34</x:v>
      </x:c>
    </x:row>
    <x:row r="98" ht="15" hidden="0" customHeight="1">
      <x:c r="A98" s="35" t="str">
        <x:v>CUSTOMER_2566</x:v>
      </x:c>
      <x:c r="B98" s="35" t="str">
        <x:v>5</x:v>
      </x:c>
      <x:c r="C98" s="35" t="str">
        <x:v>Wholesale Trade Accounts</x:v>
      </x:c>
      <x:c r="D98" s="35" t="str">
        <x:v>2401</x:v>
      </x:c>
      <x:c r="E98" s="36" t="n">
        <x:v>11</x:v>
      </x:c>
      <x:c r="F98" s="35" t="str">
        <x:v>At Risk</x:v>
      </x:c>
      <x:c r="G98" s="37" t="n">
        <x:v>3376.07</x:v>
      </x:c>
    </x:row>
    <x:row r="99" ht="15" hidden="0" customHeight="1">
      <x:c r="A99" s="35" t="str">
        <x:v>CUSTOMER_2568</x:v>
      </x:c>
      <x:c r="B99" s="35" t="str">
        <x:v>2</x:v>
      </x:c>
      <x:c r="C99" s="35" t="str">
        <x:v>Independent Retail Accounts</x:v>
      </x:c>
      <x:c r="D99" s="35" t="str">
        <x:v>2404</x:v>
      </x:c>
      <x:c r="E99" s="36" t="n">
        <x:v>8</x:v>
      </x:c>
      <x:c r="F99" s="35" t="str">
        <x:v>At Risk</x:v>
      </x:c>
      <x:c r="G99" s="37" t="n">
        <x:v>3349.5</x:v>
      </x:c>
    </x:row>
    <x:row r="100" ht="15" hidden="0" customHeight="1">
      <x:c r="A100" s="35" t="str">
        <x:v>CUSTOMER_2569</x:v>
      </x:c>
      <x:c r="B100" s="35" t="str">
        <x:v>54</x:v>
      </x:c>
      <x:c r="C100" s="35" t="str">
        <x:v>Retail Cooperative Network</x:v>
      </x:c>
      <x:c r="D100" s="35" t="str">
        <x:v>2402</x:v>
      </x:c>
      <x:c r="E100" s="36" t="n">
        <x:v>10</x:v>
      </x:c>
      <x:c r="F100" s="35" t="str">
        <x:v>At Risk</x:v>
      </x:c>
      <x:c r="G100" s="37" t="n">
        <x:v>3340.48</x:v>
      </x:c>
    </x:row>
    <x:row r="101" ht="15" hidden="0" customHeight="1">
      <x:c r="A101" s="35" t="str">
        <x:v>CUSTOMER_2265</x:v>
      </x:c>
      <x:c r="B101" s="35" t="str">
        <x:v>2</x:v>
      </x:c>
      <x:c r="C101" s="35" t="str">
        <x:v>Independent Retail Accounts</x:v>
      </x:c>
      <x:c r="D101" s="35" t="str">
        <x:v>2312</x:v>
      </x:c>
      <x:c r="E101" s="36" t="n">
        <x:v>12</x:v>
      </x:c>
      <x:c r="F101" s="35" t="str">
        <x:v>At Risk</x:v>
      </x:c>
      <x:c r="G101" s="37" t="n">
        <x:v>3335.39</x:v>
      </x:c>
    </x:row>
    <x:row r="102" ht="15" hidden="0" customHeight="1">
      <x:c r="A102" s="35" t="str">
        <x:v>CUSTOMER_1978</x:v>
      </x:c>
      <x:c r="B102" s="35" t="str">
        <x:v>6</x:v>
      </x:c>
      <x:c r="C102" s="35" t="str">
        <x:v>Commercial Supply Partners</x:v>
      </x:c>
      <x:c r="D102" s="35" t="str">
        <x:v>2403</x:v>
      </x:c>
      <x:c r="E102" s="36" t="n">
        <x:v>9</x:v>
      </x:c>
      <x:c r="F102" s="35" t="str">
        <x:v>At Risk</x:v>
      </x:c>
      <x:c r="G102" s="37" t="n">
        <x:v>3233.41</x:v>
      </x:c>
    </x:row>
    <x:row r="103" ht="15" hidden="0" customHeight="1">
      <x:c r="A103" s="35" t="str">
        <x:v>CUSTOMER_1541</x:v>
      </x:c>
      <x:c r="B103" s="35" t="str">
        <x:v>54</x:v>
      </x:c>
      <x:c r="C103" s="35" t="str">
        <x:v>Retail Cooperative Network</x:v>
      </x:c>
      <x:c r="D103" s="35" t="str">
        <x:v>2403</x:v>
      </x:c>
      <x:c r="E103" s="36" t="n">
        <x:v>9</x:v>
      </x:c>
      <x:c r="F103" s="35" t="str">
        <x:v>At Risk</x:v>
      </x:c>
      <x:c r="G103" s="37" t="n">
        <x:v>3164.21</x:v>
      </x:c>
    </x:row>
    <x:row r="104" ht="15" hidden="0" customHeight="1">
      <x:c r="A104" s="35" t="str">
        <x:v>CUSTOMER_2598</x:v>
      </x:c>
      <x:c r="B104" s="35" t="str">
        <x:v>2</x:v>
      </x:c>
      <x:c r="C104" s="35" t="str">
        <x:v>Independent Retail Accounts</x:v>
      </x:c>
      <x:c r="D104" s="35" t="str">
        <x:v>2402</x:v>
      </x:c>
      <x:c r="E104" s="36" t="n">
        <x:v>10</x:v>
      </x:c>
      <x:c r="F104" s="35" t="str">
        <x:v>At Risk</x:v>
      </x:c>
      <x:c r="G104" s="37" t="n">
        <x:v>3059.6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06911b8818ee46f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.25" hidden="0" customWidth="1"/>
    <x:col min="2" max="2" width="38" hidden="0" customWidth="1"/>
    <x:col min="3" max="3" width="7.880000114440918" hidden="0" customWidth="1"/>
    <x:col min="4" max="4" width="10" hidden="0" customWidth="1"/>
    <x:col min="5" max="5" width="7.75" hidden="0" customWidth="1"/>
  </x:cols>
  <x:sheetData>
    <x:row r="1" ht="32" customHeight="1">
      <x:c r="A1" s="3" t="str">
        <x:v>Analysis Validation</x:v>
      </x:c>
    </x:row>
    <x:row r="2" ht="24" customHeight="1">
      <x:c r="A2" s="6" t="str">
        <x:v>Automated checks for Questions 1–4</x:v>
      </x:c>
    </x:row>
    <x:row r="4">
      <x:c r="A4" s="31" t="str">
        <x:v>Question</x:v>
      </x:c>
      <x:c r="B4" s="31" t="str">
        <x:v>Check</x:v>
      </x:c>
      <x:c r="C4" s="31" t="str">
        <x:v>Actual</x:v>
      </x:c>
      <x:c r="D4" s="31" t="str">
        <x:v>Expected</x:v>
      </x:c>
      <x:c r="E4" s="31" t="str">
        <x:v>Status</x:v>
      </x:c>
    </x:row>
    <x:row r="5">
      <x:c r="A5" t="str">
        <x:v>Q1</x:v>
      </x:c>
      <x:c r="B5" t="str">
        <x:v>complete_month_count</x:v>
      </x:c>
      <x:c r="C5" t="n">
        <x:v>84</x:v>
      </x:c>
      <x:c r="D5" t="str">
        <x:v>84</x:v>
      </x:c>
      <x:c r="E5" s="44" t="str">
        <x:v>PASS</x:v>
      </x:c>
    </x:row>
    <x:row r="6">
      <x:c r="A6" t="str">
        <x:v>Q1</x:v>
      </x:c>
      <x:c r="B6" t="str">
        <x:v>complete_year_count</x:v>
      </x:c>
      <x:c r="C6" t="n">
        <x:v>7</x:v>
      </x:c>
      <x:c r="D6" t="str">
        <x:v>7</x:v>
      </x:c>
      <x:c r="E6" s="44" t="str">
        <x:v>PASS</x:v>
      </x:c>
    </x:row>
    <x:row r="7">
      <x:c r="A7" t="str">
        <x:v>Q1</x:v>
      </x:c>
      <x:c r="B7" t="str">
        <x:v>gross_profit_formula_difference</x:v>
      </x:c>
      <x:c r="C7" t="n">
        <x:v>0</x:v>
      </x:c>
      <x:c r="D7" t="str">
        <x:v>0.000000</x:v>
      </x:c>
      <x:c r="E7" s="44" t="str">
        <x:v>PASS</x:v>
      </x:c>
    </x:row>
    <x:row r="8">
      <x:c r="A8" t="str">
        <x:v>Q1</x:v>
      </x:c>
      <x:c r="B8" t="str">
        <x:v>partial_2017_rows_excluded</x:v>
      </x:c>
      <x:c r="C8" t="n">
        <x:v>4</x:v>
      </x:c>
      <x:c r="D8" t="str">
        <x:v>4</x:v>
      </x:c>
      <x:c r="E8" s="44" t="str">
        <x:v>PASS</x:v>
      </x:c>
    </x:row>
    <x:row r="9">
      <x:c r="A9" t="str">
        <x:v>Q1</x:v>
      </x:c>
      <x:c r="B9" t="str">
        <x:v>transaction_row_count</x:v>
      </x:c>
      <x:c r="C9" t="n">
        <x:v>3714620</x:v>
      </x:c>
      <x:c r="D9" t="str">
        <x:v>3714620</x:v>
      </x:c>
      <x:c r="E9" s="44" t="str">
        <x:v>PASS</x:v>
      </x:c>
    </x:row>
    <x:row r="10">
      <x:c r="A10" t="str">
        <x:v>Q1</x:v>
      </x:c>
      <x:c r="B10" t="str">
        <x:v>years_with_12_months</x:v>
      </x:c>
      <x:c r="C10" t="n">
        <x:v>7</x:v>
      </x:c>
      <x:c r="D10" t="str">
        <x:v>7</x:v>
      </x:c>
      <x:c r="E10" s="44" t="str">
        <x:v>PASS</x:v>
      </x:c>
    </x:row>
    <x:row r="11">
      <x:c r="A11" t="str">
        <x:v>Q2</x:v>
      </x:c>
      <x:c r="B11" t="str">
        <x:v>active_segment_count</x:v>
      </x:c>
      <x:c r="C11" t="n">
        <x:v>64</x:v>
      </x:c>
      <x:c r="D11" t="str">
        <x:v>64</x:v>
      </x:c>
      <x:c r="E11" s="44" t="str">
        <x:v>PASS</x:v>
      </x:c>
    </x:row>
    <x:row r="12">
      <x:c r="A12" t="str">
        <x:v>Q2</x:v>
      </x:c>
      <x:c r="B12" t="str">
        <x:v>complete_reporting_months</x:v>
      </x:c>
      <x:c r="C12" t="n">
        <x:v>84</x:v>
      </x:c>
      <x:c r="D12" t="str">
        <x:v>84</x:v>
      </x:c>
      <x:c r="E12" s="44" t="str">
        <x:v>PASS</x:v>
      </x:c>
    </x:row>
    <x:row r="13">
      <x:c r="A13" t="str">
        <x:v>Q2</x:v>
      </x:c>
      <x:c r="B13" t="str">
        <x:v>segment_gross_profit_reconciliation</x:v>
      </x:c>
      <x:c r="C13" t="n">
        <x:v>0</x:v>
      </x:c>
      <x:c r="D13" t="str">
        <x:v>0.00</x:v>
      </x:c>
      <x:c r="E13" s="44" t="str">
        <x:v>PASS</x:v>
      </x:c>
    </x:row>
    <x:row r="14">
      <x:c r="A14" t="str">
        <x:v>Q2</x:v>
      </x:c>
      <x:c r="B14" t="str">
        <x:v>segment_revenue_reconciliation</x:v>
      </x:c>
      <x:c r="C14" t="n">
        <x:v>0</x:v>
      </x:c>
      <x:c r="D14" t="str">
        <x:v>0.00</x:v>
      </x:c>
      <x:c r="E14" s="44" t="str">
        <x:v>PASS</x:v>
      </x:c>
    </x:row>
    <x:row r="15">
      <x:c r="A15" t="str">
        <x:v>Q2</x:v>
      </x:c>
      <x:c r="B15" t="str">
        <x:v>unmapped_transaction_class_rows</x:v>
      </x:c>
      <x:c r="C15" t="n">
        <x:v>0</x:v>
      </x:c>
      <x:c r="D15" t="str">
        <x:v>0</x:v>
      </x:c>
      <x:c r="E15" s="44" t="str">
        <x:v>PASS</x:v>
      </x:c>
    </x:row>
    <x:row r="16">
      <x:c r="A16" t="str">
        <x:v>Q3</x:v>
      </x:c>
      <x:c r="B16" t="str">
        <x:v>customer_count</x:v>
      </x:c>
      <x:c r="C16" t="n">
        <x:v>3230</x:v>
      </x:c>
      <x:c r="D16" t="str">
        <x:v>3230</x:v>
      </x:c>
      <x:c r="E16" s="44" t="str">
        <x:v>PASS</x:v>
      </x:c>
    </x:row>
    <x:row r="17">
      <x:c r="A17" t="str">
        <x:v>Q3</x:v>
      </x:c>
      <x:c r="B17" t="str">
        <x:v>customer_revenue_reconciliation</x:v>
      </x:c>
      <x:c r="C17" t="n">
        <x:v>0</x:v>
      </x:c>
      <x:c r="D17" t="str">
        <x:v>0.00</x:v>
      </x:c>
      <x:c r="E17" s="44" t="str">
        <x:v>PASS</x:v>
      </x:c>
    </x:row>
    <x:row r="18">
      <x:c r="A18" t="str">
        <x:v>Q3</x:v>
      </x:c>
      <x:c r="B18" t="str">
        <x:v>final_cumulative_revenue_pct</x:v>
      </x:c>
      <x:c r="C18" t="n">
        <x:v>100</x:v>
      </x:c>
      <x:c r="D18" t="str">
        <x:v>100.0000</x:v>
      </x:c>
      <x:c r="E18" s="44" t="str">
        <x:v>PASS</x:v>
      </x:c>
    </x:row>
    <x:row r="19">
      <x:c r="A19" t="str">
        <x:v>Q3</x:v>
      </x:c>
      <x:c r="B19" t="str">
        <x:v>top_customer_below_two_pct</x:v>
      </x:c>
      <x:c r="C19" t="n">
        <x:v>1.1305</x:v>
      </x:c>
      <x:c r="D19" t="str">
        <x:v>&lt;2.0000</x:v>
      </x:c>
      <x:c r="E19" s="44" t="str">
        <x:v>PASS</x:v>
      </x:c>
    </x:row>
    <x:row r="20">
      <x:c r="A20" t="str">
        <x:v>Q3</x:v>
      </x:c>
      <x:c r="B20" t="str">
        <x:v>unique_customer_ranks</x:v>
      </x:c>
      <x:c r="C20" t="n">
        <x:v>3230</x:v>
      </x:c>
      <x:c r="D20" t="str">
        <x:v>3230</x:v>
      </x:c>
      <x:c r="E20" s="44" t="str">
        <x:v>PASS</x:v>
      </x:c>
    </x:row>
    <x:row r="21">
      <x:c r="A21" t="str">
        <x:v>Q4</x:v>
      </x:c>
      <x:c r="B21" t="str">
        <x:v>active_revenue_at_risk</x:v>
      </x:c>
      <x:c r="C21" t="n">
        <x:v>0</x:v>
      </x:c>
      <x:c r="D21" t="str">
        <x:v>0.00</x:v>
      </x:c>
      <x:c r="E21" s="44" t="str">
        <x:v>PASS</x:v>
      </x:c>
    </x:row>
    <x:row r="22">
      <x:c r="A22" t="str">
        <x:v>Q4</x:v>
      </x:c>
      <x:c r="B22" t="str">
        <x:v>bucket_customer_reconciliation</x:v>
      </x:c>
      <x:c r="C22" t="n">
        <x:v>3230</x:v>
      </x:c>
      <x:c r="D22" t="str">
        <x:v>3230</x:v>
      </x:c>
      <x:c r="E22" s="44" t="str">
        <x:v>PASS</x:v>
      </x:c>
    </x:row>
    <x:row r="23">
      <x:c r="A23" t="str">
        <x:v>Q4</x:v>
      </x:c>
      <x:c r="B23" t="str">
        <x:v>latest_recognized_period</x:v>
      </x:c>
      <x:c r="C23" t="n">
        <x:v>2412</x:v>
      </x:c>
      <x:c r="D23" t="str">
        <x:v>2412</x:v>
      </x:c>
      <x:c r="E23" s="44" t="str">
        <x:v>PASS</x:v>
      </x:c>
    </x:row>
    <x:row r="24">
      <x:c r="A24" t="str">
        <x:v>Q4</x:v>
      </x:c>
      <x:c r="B24" t="str">
        <x:v>lifecycle_customer_count</x:v>
      </x:c>
      <x:c r="C24" t="n">
        <x:v>3230</x:v>
      </x:c>
      <x:c r="D24" t="str">
        <x:v>3230</x:v>
      </x:c>
      <x:c r="E24" s="44" t="str">
        <x:v>PASS</x:v>
      </x:c>
    </x:row>
    <x:row r="25">
      <x:c r="A25" t="str">
        <x:v>Q4</x:v>
      </x:c>
      <x:c r="B25" t="str">
        <x:v>no_positive_sales_customer_count</x:v>
      </x:c>
      <x:c r="C25" t="n">
        <x:v>21</x:v>
      </x:c>
      <x:c r="D25" t="str">
        <x:v>21</x:v>
      </x:c>
      <x:c r="E25" s="44" t="str">
        <x:v>PASS</x:v>
      </x:c>
    </x:row>
    <x:row r="26">
      <x:c r="A26" t="str">
        <x:v>Q4</x:v>
      </x:c>
      <x:c r="B26" t="str">
        <x:v>nonnegative_revenue_at_risk</x:v>
      </x:c>
      <x:c r="C26" t="n">
        <x:v>0</x:v>
      </x:c>
      <x:c r="D26" t="str">
        <x:v>0</x:v>
      </x:c>
      <x:c r="E26" s="44" t="str">
        <x:v>PASS</x:v>
      </x:c>
    </x:row>
    <x:row r="27">
      <x:c r="E27" s="44"/>
    </x:row>
    <x:row r="28">
      <x:c r="E28" s="44"/>
    </x:row>
    <x:row r="29">
      <x:c r="E29" s="44"/>
    </x:row>
    <x:row r="30">
      <x:c r="E30" s="44"/>
    </x:row>
    <x:row r="31">
      <x:c r="E31" s="44"/>
    </x:row>
    <x:row r="32">
      <x:c r="E32" s="44"/>
    </x:row>
    <x:row r="33">
      <x:c r="E33" s="44"/>
    </x:row>
    <x:row r="34">
      <x:c r="E34" s="44"/>
    </x:row>
    <x:row r="35">
      <x:c r="E35" s="44"/>
    </x:row>
    <x:row r="36">
      <x:c r="E36" s="44"/>
    </x:row>
    <x:row r="37">
      <x:c r="E37" s="44"/>
    </x:row>
    <x:row r="38">
      <x:c r="E38" s="44"/>
    </x:row>
    <x:row r="39">
      <x:c r="E39" s="44"/>
    </x:row>
    <x:row r="40">
      <x:c r="E40" s="44"/>
    </x:row>
    <x:row r="41">
      <x:c r="E41" s="44"/>
    </x:row>
    <x:row r="42">
      <x:c r="E42" s="44"/>
    </x:row>
    <x:row r="43">
      <x:c r="E43" s="44"/>
    </x:row>
    <x:row r="44">
      <x:c r="E44" s="44"/>
    </x:row>
    <x:row r="45">
      <x:c r="E45" s="44"/>
    </x:row>
    <x:row r="46">
      <x:c r="E46" s="44"/>
    </x:row>
    <x:row r="47">
      <x:c r="E47" s="44"/>
    </x:row>
    <x:row r="48">
      <x:c r="E48" s="44"/>
    </x:row>
    <x:row r="49">
      <x:c r="E49" s="44"/>
    </x:row>
    <x:row r="50">
      <x:c r="E50" s="44"/>
    </x:row>
    <x:row r="51">
      <x:c r="E51" s="44"/>
    </x:row>
    <x:row r="52">
      <x:c r="E52" s="44"/>
    </x:row>
    <x:row r="53">
      <x:c r="E53" s="44"/>
    </x:row>
    <x:row r="54">
      <x:c r="E54" s="44"/>
    </x:row>
    <x:row r="55">
      <x:c r="E55" s="44"/>
    </x:row>
    <x:row r="56">
      <x:c r="E56" s="44"/>
    </x:row>
    <x:row r="57">
      <x:c r="E57" s="44"/>
    </x:row>
    <x:row r="58">
      <x:c r="E58" s="44"/>
    </x:row>
    <x:row r="59">
      <x:c r="E59" s="44"/>
    </x:row>
    <x:row r="60">
      <x:c r="E60" s="44"/>
    </x:row>
    <x:row r="61">
      <x:c r="E61" s="44"/>
    </x:row>
    <x:row r="62">
      <x:c r="E62" s="44"/>
    </x:row>
    <x:row r="63">
      <x:c r="E63" s="44"/>
    </x:row>
    <x:row r="64">
      <x:c r="E64" s="44"/>
    </x:row>
    <x:row r="65">
      <x:c r="E65" s="44"/>
    </x:row>
    <x:row r="66">
      <x:c r="E66" s="44"/>
    </x:row>
    <x:row r="67">
      <x:c r="E67" s="44"/>
    </x:row>
    <x:row r="68">
      <x:c r="E68" s="44"/>
    </x:row>
    <x:row r="69">
      <x:c r="E69" s="44"/>
    </x:row>
    <x:row r="70">
      <x:c r="E70" s="44"/>
    </x:row>
    <x:row r="71">
      <x:c r="E71" s="44"/>
    </x:row>
    <x:row r="72">
      <x:c r="E72" s="44"/>
    </x:row>
    <x:row r="73">
      <x:c r="E73" s="44"/>
    </x:row>
    <x:row r="74">
      <x:c r="E74" s="44"/>
    </x:row>
    <x:row r="75">
      <x:c r="E75" s="44"/>
    </x:row>
    <x:row r="76">
      <x:c r="E76" s="44"/>
    </x:row>
    <x:row r="77">
      <x:c r="E77" s="44"/>
    </x:row>
    <x:row r="78">
      <x:c r="E78" s="44"/>
    </x:row>
    <x:row r="79">
      <x:c r="E79" s="44"/>
    </x:row>
    <x:row r="80">
      <x:c r="E80" s="44"/>
    </x:row>
    <x:row r="81">
      <x:c r="E81" s="44"/>
    </x:row>
    <x:row r="82">
      <x:c r="E82" s="44"/>
    </x:row>
    <x:row r="83">
      <x:c r="E83" s="44"/>
    </x:row>
    <x:row r="84">
      <x:c r="E84" s="44"/>
    </x:row>
    <x:row r="85">
      <x:c r="E85" s="44"/>
    </x:row>
    <x:row r="86">
      <x:c r="E86" s="44"/>
    </x:row>
    <x:row r="87">
      <x:c r="E87" s="44"/>
    </x:row>
    <x:row r="88">
      <x:c r="E88" s="44"/>
    </x:row>
    <x:row r="89">
      <x:c r="E89" s="44"/>
    </x:row>
    <x:row r="90">
      <x:c r="E90" s="44"/>
    </x:row>
    <x:row r="91">
      <x:c r="E91" s="44"/>
    </x:row>
    <x:row r="92">
      <x:c r="E92" s="44"/>
    </x:row>
    <x:row r="93">
      <x:c r="E93" s="44"/>
    </x:row>
    <x:row r="94">
      <x:c r="E94" s="44"/>
    </x:row>
    <x:row r="95">
      <x:c r="E95" s="44"/>
    </x:row>
    <x:row r="96">
      <x:c r="E96" s="44"/>
    </x:row>
    <x:row r="97">
      <x:c r="E97" s="44"/>
    </x:row>
    <x:row r="98">
      <x:c r="E98" s="44"/>
    </x:row>
    <x:row r="99">
      <x:c r="E99" s="44"/>
    </x:row>
    <x:row r="100">
      <x:c r="E100" s="44"/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6733247f55b54c74"/>
  </x:tableParts>
</x:worksheet>
</file>